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总表" sheetId="1" state="visible" r:id="rId1"/>
    <sheet xmlns:r="http://schemas.openxmlformats.org/officeDocument/2006/relationships" name="仪表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B67FF"/>
      <sz val="14"/>
    </font>
    <font>
      <b val="1"/>
    </font>
    <font>
      <sz val="12"/>
    </font>
  </fonts>
  <fills count="3">
    <fill>
      <patternFill/>
    </fill>
    <fill>
      <patternFill patternType="gray125"/>
    </fill>
    <fill>
      <patternFill patternType="solid">
        <fgColor rgb="002B67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任务状态分布</a:t>
            </a:r>
          </a:p>
        </rich>
      </tx>
    </title>
    <plotArea>
      <pieChart>
        <varyColors val="1"/>
        <ser>
          <idx val="0"/>
          <order val="0"/>
          <tx>
            <strRef>
              <f>'仪表盘'!E3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'仪表盘'!$D$4:$D$8</f>
            </numRef>
          </cat>
          <val>
            <numRef>
              <f>'仪表盘'!$E$4:$E$8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各大类任务数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'仪表盘'!H3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'仪表盘'!$G$4:$G$10</f>
            </numRef>
          </cat>
          <val>
            <numRef>
              <f>'仪表盘'!$H$4:$H$10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0" customWidth="1" min="4" max="4"/>
    <col width="14" customWidth="1" min="5" max="5"/>
    <col width="10" customWidth="1" min="6" max="6"/>
    <col width="9" customWidth="1" min="7" max="7"/>
    <col width="13" customWidth="1" min="8" max="8"/>
    <col width="13" customWidth="1" min="9" max="9"/>
    <col width="9" customWidth="1" min="10" max="10"/>
    <col width="22" customWidth="1" min="11" max="11"/>
    <col width="10" customWidth="1" min="12" max="12"/>
    <col width="13" customWidth="1" min="13" max="13"/>
  </cols>
  <sheetData>
    <row r="1">
      <c r="A1" s="1" t="inlineStr">
        <is>
          <t>任务名称</t>
        </is>
      </c>
      <c r="B1" s="1" t="inlineStr">
        <is>
          <t>所属大类</t>
        </is>
      </c>
      <c r="C1" s="1" t="inlineStr">
        <is>
          <t>子项备注</t>
        </is>
      </c>
      <c r="D1" s="1" t="inlineStr">
        <is>
          <t>负责人</t>
        </is>
      </c>
      <c r="E1" s="1" t="inlineStr">
        <is>
          <t>协同人</t>
        </is>
      </c>
      <c r="F1" s="1" t="inlineStr">
        <is>
          <t>状态</t>
        </is>
      </c>
      <c r="G1" s="1" t="inlineStr">
        <is>
          <t>进度%</t>
        </is>
      </c>
      <c r="H1" s="1" t="inlineStr">
        <is>
          <t>开始日期</t>
        </is>
      </c>
      <c r="I1" s="1" t="inlineStr">
        <is>
          <t>截止日期</t>
        </is>
      </c>
      <c r="J1" s="1" t="inlineStr">
        <is>
          <t>优先级</t>
        </is>
      </c>
      <c r="K1" s="1" t="inlineStr">
        <is>
          <t>堵点说明</t>
        </is>
      </c>
      <c r="L1" s="1" t="inlineStr">
        <is>
          <t>是否逾期</t>
        </is>
      </c>
      <c r="M1" s="1" t="inlineStr">
        <is>
          <t>更新日期</t>
        </is>
      </c>
    </row>
    <row r="2">
      <c r="G2" s="2" t="n"/>
      <c r="H2" s="3" t="n"/>
      <c r="I2" s="3" t="n"/>
      <c r="L2">
        <f>IF(AND(F2&lt;&gt;"已完成",I2&lt;&gt;"",TODAY()&gt;I2),"逾期","正常")</f>
        <v/>
      </c>
    </row>
    <row r="3">
      <c r="G3" s="2" t="n"/>
      <c r="H3" s="3" t="n"/>
      <c r="I3" s="3" t="n"/>
      <c r="L3">
        <f>IF(AND(F3&lt;&gt;"已完成",I3&lt;&gt;"",TODAY()&gt;I3),"逾期","正常")</f>
        <v/>
      </c>
    </row>
    <row r="4">
      <c r="G4" s="2" t="n"/>
      <c r="H4" s="3" t="n"/>
      <c r="I4" s="3" t="n"/>
      <c r="L4">
        <f>IF(AND(F4&lt;&gt;"已完成",I4&lt;&gt;"",TODAY()&gt;I4),"逾期","正常")</f>
        <v/>
      </c>
    </row>
    <row r="5">
      <c r="G5" s="2" t="n"/>
      <c r="H5" s="3" t="n"/>
      <c r="I5" s="3" t="n"/>
      <c r="L5">
        <f>IF(AND(F5&lt;&gt;"已完成",I5&lt;&gt;"",TODAY()&gt;I5),"逾期","正常")</f>
        <v/>
      </c>
    </row>
    <row r="6">
      <c r="G6" s="2" t="n"/>
      <c r="H6" s="3" t="n"/>
      <c r="I6" s="3" t="n"/>
      <c r="L6">
        <f>IF(AND(F6&lt;&gt;"已完成",I6&lt;&gt;"",TODAY()&gt;I6),"逾期","正常")</f>
        <v/>
      </c>
    </row>
    <row r="7">
      <c r="G7" s="2" t="n"/>
      <c r="H7" s="3" t="n"/>
      <c r="I7" s="3" t="n"/>
      <c r="L7">
        <f>IF(AND(F7&lt;&gt;"已完成",I7&lt;&gt;"",TODAY()&gt;I7),"逾期","正常")</f>
        <v/>
      </c>
    </row>
    <row r="8">
      <c r="G8" s="2" t="n"/>
      <c r="H8" s="3" t="n"/>
      <c r="I8" s="3" t="n"/>
      <c r="L8">
        <f>IF(AND(F8&lt;&gt;"已完成",I8&lt;&gt;"",TODAY()&gt;I8),"逾期","正常")</f>
        <v/>
      </c>
    </row>
    <row r="9">
      <c r="G9" s="2" t="n"/>
      <c r="H9" s="3" t="n"/>
      <c r="I9" s="3" t="n"/>
      <c r="L9">
        <f>IF(AND(F9&lt;&gt;"已完成",I9&lt;&gt;"",TODAY()&gt;I9),"逾期","正常")</f>
        <v/>
      </c>
    </row>
    <row r="10">
      <c r="G10" s="2" t="n"/>
      <c r="H10" s="3" t="n"/>
      <c r="I10" s="3" t="n"/>
      <c r="L10">
        <f>IF(AND(F10&lt;&gt;"已完成",I10&lt;&gt;"",TODAY()&gt;I10),"逾期","正常")</f>
        <v/>
      </c>
    </row>
    <row r="11">
      <c r="G11" s="2" t="n"/>
      <c r="H11" s="3" t="n"/>
      <c r="I11" s="3" t="n"/>
      <c r="L11">
        <f>IF(AND(F11&lt;&gt;"已完成",I11&lt;&gt;"",TODAY()&gt;I11),"逾期","正常")</f>
        <v/>
      </c>
    </row>
    <row r="12">
      <c r="G12" s="2" t="n"/>
      <c r="H12" s="3" t="n"/>
      <c r="I12" s="3" t="n"/>
      <c r="L12">
        <f>IF(AND(F12&lt;&gt;"已完成",I12&lt;&gt;"",TODAY()&gt;I12),"逾期","正常")</f>
        <v/>
      </c>
    </row>
    <row r="13">
      <c r="G13" s="2" t="n"/>
      <c r="H13" s="3" t="n"/>
      <c r="I13" s="3" t="n"/>
      <c r="L13">
        <f>IF(AND(F13&lt;&gt;"已完成",I13&lt;&gt;"",TODAY()&gt;I13),"逾期","正常")</f>
        <v/>
      </c>
    </row>
    <row r="14">
      <c r="G14" s="2" t="n"/>
      <c r="H14" s="3" t="n"/>
      <c r="I14" s="3" t="n"/>
      <c r="L14">
        <f>IF(AND(F14&lt;&gt;"已完成",I14&lt;&gt;"",TODAY()&gt;I14),"逾期","正常")</f>
        <v/>
      </c>
    </row>
    <row r="15">
      <c r="G15" s="2" t="n"/>
      <c r="H15" s="3" t="n"/>
      <c r="I15" s="3" t="n"/>
      <c r="L15">
        <f>IF(AND(F15&lt;&gt;"已完成",I15&lt;&gt;"",TODAY()&gt;I15),"逾期","正常")</f>
        <v/>
      </c>
    </row>
    <row r="16">
      <c r="G16" s="2" t="n"/>
      <c r="H16" s="3" t="n"/>
      <c r="I16" s="3" t="n"/>
      <c r="L16">
        <f>IF(AND(F16&lt;&gt;"已完成",I16&lt;&gt;"",TODAY()&gt;I16),"逾期","正常")</f>
        <v/>
      </c>
    </row>
    <row r="17">
      <c r="G17" s="2" t="n"/>
      <c r="H17" s="3" t="n"/>
      <c r="I17" s="3" t="n"/>
      <c r="L17">
        <f>IF(AND(F17&lt;&gt;"已完成",I17&lt;&gt;"",TODAY()&gt;I17),"逾期","正常")</f>
        <v/>
      </c>
    </row>
    <row r="18">
      <c r="G18" s="2" t="n"/>
      <c r="H18" s="3" t="n"/>
      <c r="I18" s="3" t="n"/>
      <c r="L18">
        <f>IF(AND(F18&lt;&gt;"已完成",I18&lt;&gt;"",TODAY()&gt;I18),"逾期","正常")</f>
        <v/>
      </c>
    </row>
    <row r="19">
      <c r="G19" s="2" t="n"/>
      <c r="H19" s="3" t="n"/>
      <c r="I19" s="3" t="n"/>
      <c r="L19">
        <f>IF(AND(F19&lt;&gt;"已完成",I19&lt;&gt;"",TODAY()&gt;I19),"逾期","正常")</f>
        <v/>
      </c>
    </row>
    <row r="20">
      <c r="G20" s="2" t="n"/>
      <c r="H20" s="3" t="n"/>
      <c r="I20" s="3" t="n"/>
      <c r="L20">
        <f>IF(AND(F20&lt;&gt;"已完成",I20&lt;&gt;"",TODAY()&gt;I20),"逾期","正常")</f>
        <v/>
      </c>
    </row>
    <row r="21">
      <c r="G21" s="2" t="n"/>
      <c r="H21" s="3" t="n"/>
      <c r="I21" s="3" t="n"/>
      <c r="L21">
        <f>IF(AND(F21&lt;&gt;"已完成",I21&lt;&gt;"",TODAY()&gt;I21),"逾期","正常")</f>
        <v/>
      </c>
    </row>
    <row r="22">
      <c r="G22" s="2" t="n"/>
      <c r="H22" s="3" t="n"/>
      <c r="I22" s="3" t="n"/>
      <c r="L22">
        <f>IF(AND(F22&lt;&gt;"已完成",I22&lt;&gt;"",TODAY()&gt;I22),"逾期","正常")</f>
        <v/>
      </c>
    </row>
    <row r="23">
      <c r="G23" s="2" t="n"/>
      <c r="H23" s="3" t="n"/>
      <c r="I23" s="3" t="n"/>
      <c r="L23">
        <f>IF(AND(F23&lt;&gt;"已完成",I23&lt;&gt;"",TODAY()&gt;I23),"逾期","正常")</f>
        <v/>
      </c>
    </row>
    <row r="24">
      <c r="G24" s="2" t="n"/>
      <c r="H24" s="3" t="n"/>
      <c r="I24" s="3" t="n"/>
      <c r="L24">
        <f>IF(AND(F24&lt;&gt;"已完成",I24&lt;&gt;"",TODAY()&gt;I24),"逾期","正常")</f>
        <v/>
      </c>
    </row>
    <row r="25">
      <c r="G25" s="2" t="n"/>
      <c r="H25" s="3" t="n"/>
      <c r="I25" s="3" t="n"/>
      <c r="L25">
        <f>IF(AND(F25&lt;&gt;"已完成",I25&lt;&gt;"",TODAY()&gt;I25),"逾期","正常")</f>
        <v/>
      </c>
    </row>
    <row r="26">
      <c r="G26" s="2" t="n"/>
      <c r="H26" s="3" t="n"/>
      <c r="I26" s="3" t="n"/>
      <c r="L26">
        <f>IF(AND(F26&lt;&gt;"已完成",I26&lt;&gt;"",TODAY()&gt;I26),"逾期","正常")</f>
        <v/>
      </c>
    </row>
    <row r="27">
      <c r="G27" s="2" t="n"/>
      <c r="H27" s="3" t="n"/>
      <c r="I27" s="3" t="n"/>
      <c r="L27">
        <f>IF(AND(F27&lt;&gt;"已完成",I27&lt;&gt;"",TODAY()&gt;I27),"逾期","正常")</f>
        <v/>
      </c>
    </row>
    <row r="28">
      <c r="G28" s="2" t="n"/>
      <c r="H28" s="3" t="n"/>
      <c r="I28" s="3" t="n"/>
      <c r="L28">
        <f>IF(AND(F28&lt;&gt;"已完成",I28&lt;&gt;"",TODAY()&gt;I28),"逾期","正常")</f>
        <v/>
      </c>
    </row>
    <row r="29">
      <c r="G29" s="2" t="n"/>
      <c r="H29" s="3" t="n"/>
      <c r="I29" s="3" t="n"/>
      <c r="L29">
        <f>IF(AND(F29&lt;&gt;"已完成",I29&lt;&gt;"",TODAY()&gt;I29),"逾期","正常")</f>
        <v/>
      </c>
    </row>
    <row r="30">
      <c r="G30" s="2" t="n"/>
      <c r="H30" s="3" t="n"/>
      <c r="I30" s="3" t="n"/>
      <c r="L30">
        <f>IF(AND(F30&lt;&gt;"已完成",I30&lt;&gt;"",TODAY()&gt;I30),"逾期","正常")</f>
        <v/>
      </c>
    </row>
    <row r="31">
      <c r="G31" s="2" t="n"/>
      <c r="H31" s="3" t="n"/>
      <c r="I31" s="3" t="n"/>
      <c r="L31">
        <f>IF(AND(F31&lt;&gt;"已完成",I31&lt;&gt;"",TODAY()&gt;I31),"逾期","正常")</f>
        <v/>
      </c>
    </row>
    <row r="32">
      <c r="G32" s="2" t="n"/>
      <c r="H32" s="3" t="n"/>
      <c r="I32" s="3" t="n"/>
      <c r="L32">
        <f>IF(AND(F32&lt;&gt;"已完成",I32&lt;&gt;"",TODAY()&gt;I32),"逾期","正常")</f>
        <v/>
      </c>
    </row>
    <row r="33">
      <c r="G33" s="2" t="n"/>
      <c r="H33" s="3" t="n"/>
      <c r="I33" s="3" t="n"/>
      <c r="L33">
        <f>IF(AND(F33&lt;&gt;"已完成",I33&lt;&gt;"",TODAY()&gt;I33),"逾期","正常")</f>
        <v/>
      </c>
    </row>
    <row r="34">
      <c r="G34" s="2" t="n"/>
      <c r="H34" s="3" t="n"/>
      <c r="I34" s="3" t="n"/>
      <c r="L34">
        <f>IF(AND(F34&lt;&gt;"已完成",I34&lt;&gt;"",TODAY()&gt;I34),"逾期","正常")</f>
        <v/>
      </c>
    </row>
    <row r="35">
      <c r="G35" s="2" t="n"/>
      <c r="H35" s="3" t="n"/>
      <c r="I35" s="3" t="n"/>
      <c r="L35">
        <f>IF(AND(F35&lt;&gt;"已完成",I35&lt;&gt;"",TODAY()&gt;I35),"逾期","正常")</f>
        <v/>
      </c>
    </row>
    <row r="36">
      <c r="G36" s="2" t="n"/>
      <c r="H36" s="3" t="n"/>
      <c r="I36" s="3" t="n"/>
      <c r="L36">
        <f>IF(AND(F36&lt;&gt;"已完成",I36&lt;&gt;"",TODAY()&gt;I36),"逾期","正常")</f>
        <v/>
      </c>
    </row>
    <row r="37">
      <c r="G37" s="2" t="n"/>
      <c r="H37" s="3" t="n"/>
      <c r="I37" s="3" t="n"/>
      <c r="L37">
        <f>IF(AND(F37&lt;&gt;"已完成",I37&lt;&gt;"",TODAY()&gt;I37),"逾期","正常")</f>
        <v/>
      </c>
    </row>
    <row r="38">
      <c r="G38" s="2" t="n"/>
      <c r="H38" s="3" t="n"/>
      <c r="I38" s="3" t="n"/>
      <c r="L38">
        <f>IF(AND(F38&lt;&gt;"已完成",I38&lt;&gt;"",TODAY()&gt;I38),"逾期","正常")</f>
        <v/>
      </c>
    </row>
    <row r="39">
      <c r="G39" s="2" t="n"/>
      <c r="H39" s="3" t="n"/>
      <c r="I39" s="3" t="n"/>
      <c r="L39">
        <f>IF(AND(F39&lt;&gt;"已完成",I39&lt;&gt;"",TODAY()&gt;I39),"逾期","正常")</f>
        <v/>
      </c>
    </row>
    <row r="40">
      <c r="G40" s="2" t="n"/>
      <c r="H40" s="3" t="n"/>
      <c r="I40" s="3" t="n"/>
      <c r="L40">
        <f>IF(AND(F40&lt;&gt;"已完成",I40&lt;&gt;"",TODAY()&gt;I40),"逾期","正常")</f>
        <v/>
      </c>
    </row>
    <row r="41">
      <c r="G41" s="2" t="n"/>
      <c r="H41" s="3" t="n"/>
      <c r="I41" s="3" t="n"/>
      <c r="L41">
        <f>IF(AND(F41&lt;&gt;"已完成",I41&lt;&gt;"",TODAY()&gt;I41),"逾期","正常")</f>
        <v/>
      </c>
    </row>
    <row r="42">
      <c r="G42" s="2" t="n"/>
      <c r="H42" s="3" t="n"/>
      <c r="I42" s="3" t="n"/>
      <c r="L42">
        <f>IF(AND(F42&lt;&gt;"已完成",I42&lt;&gt;"",TODAY()&gt;I42),"逾期","正常")</f>
        <v/>
      </c>
    </row>
    <row r="43">
      <c r="G43" s="2" t="n"/>
      <c r="H43" s="3" t="n"/>
      <c r="I43" s="3" t="n"/>
      <c r="L43">
        <f>IF(AND(F43&lt;&gt;"已完成",I43&lt;&gt;"",TODAY()&gt;I43),"逾期","正常")</f>
        <v/>
      </c>
    </row>
    <row r="44">
      <c r="G44" s="2" t="n"/>
      <c r="H44" s="3" t="n"/>
      <c r="I44" s="3" t="n"/>
      <c r="L44">
        <f>IF(AND(F44&lt;&gt;"已完成",I44&lt;&gt;"",TODAY()&gt;I44),"逾期","正常")</f>
        <v/>
      </c>
    </row>
    <row r="45">
      <c r="G45" s="2" t="n"/>
      <c r="H45" s="3" t="n"/>
      <c r="I45" s="3" t="n"/>
      <c r="L45">
        <f>IF(AND(F45&lt;&gt;"已完成",I45&lt;&gt;"",TODAY()&gt;I45),"逾期","正常")</f>
        <v/>
      </c>
    </row>
    <row r="46">
      <c r="G46" s="2" t="n"/>
      <c r="H46" s="3" t="n"/>
      <c r="I46" s="3" t="n"/>
      <c r="L46">
        <f>IF(AND(F46&lt;&gt;"已完成",I46&lt;&gt;"",TODAY()&gt;I46),"逾期","正常")</f>
        <v/>
      </c>
    </row>
    <row r="47">
      <c r="G47" s="2" t="n"/>
      <c r="H47" s="3" t="n"/>
      <c r="I47" s="3" t="n"/>
      <c r="L47">
        <f>IF(AND(F47&lt;&gt;"已完成",I47&lt;&gt;"",TODAY()&gt;I47),"逾期","正常")</f>
        <v/>
      </c>
    </row>
    <row r="48">
      <c r="G48" s="2" t="n"/>
      <c r="H48" s="3" t="n"/>
      <c r="I48" s="3" t="n"/>
      <c r="L48">
        <f>IF(AND(F48&lt;&gt;"已完成",I48&lt;&gt;"",TODAY()&gt;I48),"逾期","正常")</f>
        <v/>
      </c>
    </row>
    <row r="49">
      <c r="G49" s="2" t="n"/>
      <c r="H49" s="3" t="n"/>
      <c r="I49" s="3" t="n"/>
      <c r="L49">
        <f>IF(AND(F49&lt;&gt;"已完成",I49&lt;&gt;"",TODAY()&gt;I49),"逾期","正常")</f>
        <v/>
      </c>
    </row>
    <row r="50">
      <c r="G50" s="2" t="n"/>
      <c r="H50" s="3" t="n"/>
      <c r="I50" s="3" t="n"/>
      <c r="L50">
        <f>IF(AND(F50&lt;&gt;"已完成",I50&lt;&gt;"",TODAY()&gt;I50),"逾期","正常")</f>
        <v/>
      </c>
    </row>
    <row r="51">
      <c r="G51" s="2" t="n"/>
      <c r="H51" s="3" t="n"/>
      <c r="I51" s="3" t="n"/>
      <c r="L51">
        <f>IF(AND(F51&lt;&gt;"已完成",I51&lt;&gt;"",TODAY()&gt;I51),"逾期","正常")</f>
        <v/>
      </c>
    </row>
    <row r="52">
      <c r="G52" s="2" t="n"/>
      <c r="H52" s="3" t="n"/>
      <c r="I52" s="3" t="n"/>
      <c r="L52">
        <f>IF(AND(F52&lt;&gt;"已完成",I52&lt;&gt;"",TODAY()&gt;I52),"逾期","正常")</f>
        <v/>
      </c>
    </row>
    <row r="53">
      <c r="G53" s="2" t="n"/>
      <c r="H53" s="3" t="n"/>
      <c r="I53" s="3" t="n"/>
      <c r="L53">
        <f>IF(AND(F53&lt;&gt;"已完成",I53&lt;&gt;"",TODAY()&gt;I53),"逾期","正常")</f>
        <v/>
      </c>
    </row>
    <row r="54">
      <c r="G54" s="2" t="n"/>
      <c r="H54" s="3" t="n"/>
      <c r="I54" s="3" t="n"/>
      <c r="L54">
        <f>IF(AND(F54&lt;&gt;"已完成",I54&lt;&gt;"",TODAY()&gt;I54),"逾期","正常")</f>
        <v/>
      </c>
    </row>
    <row r="55">
      <c r="G55" s="2" t="n"/>
      <c r="H55" s="3" t="n"/>
      <c r="I55" s="3" t="n"/>
      <c r="L55">
        <f>IF(AND(F55&lt;&gt;"已完成",I55&lt;&gt;"",TODAY()&gt;I55),"逾期","正常")</f>
        <v/>
      </c>
    </row>
    <row r="56">
      <c r="G56" s="2" t="n"/>
      <c r="H56" s="3" t="n"/>
      <c r="I56" s="3" t="n"/>
      <c r="L56">
        <f>IF(AND(F56&lt;&gt;"已完成",I56&lt;&gt;"",TODAY()&gt;I56),"逾期","正常")</f>
        <v/>
      </c>
    </row>
    <row r="57">
      <c r="G57" s="2" t="n"/>
      <c r="H57" s="3" t="n"/>
      <c r="I57" s="3" t="n"/>
      <c r="L57">
        <f>IF(AND(F57&lt;&gt;"已完成",I57&lt;&gt;"",TODAY()&gt;I57),"逾期","正常")</f>
        <v/>
      </c>
    </row>
    <row r="58">
      <c r="G58" s="2" t="n"/>
      <c r="H58" s="3" t="n"/>
      <c r="I58" s="3" t="n"/>
      <c r="L58">
        <f>IF(AND(F58&lt;&gt;"已完成",I58&lt;&gt;"",TODAY()&gt;I58),"逾期","正常")</f>
        <v/>
      </c>
    </row>
    <row r="59">
      <c r="G59" s="2" t="n"/>
      <c r="H59" s="3" t="n"/>
      <c r="I59" s="3" t="n"/>
      <c r="L59">
        <f>IF(AND(F59&lt;&gt;"已完成",I59&lt;&gt;"",TODAY()&gt;I59),"逾期","正常")</f>
        <v/>
      </c>
    </row>
    <row r="60">
      <c r="G60" s="2" t="n"/>
      <c r="H60" s="3" t="n"/>
      <c r="I60" s="3" t="n"/>
      <c r="L60">
        <f>IF(AND(F60&lt;&gt;"已完成",I60&lt;&gt;"",TODAY()&gt;I60),"逾期","正常")</f>
        <v/>
      </c>
    </row>
    <row r="61">
      <c r="G61" s="2" t="n"/>
      <c r="H61" s="3" t="n"/>
      <c r="I61" s="3" t="n"/>
      <c r="L61">
        <f>IF(AND(F61&lt;&gt;"已完成",I61&lt;&gt;"",TODAY()&gt;I61),"逾期","正常")</f>
        <v/>
      </c>
    </row>
    <row r="62">
      <c r="G62" s="2" t="n"/>
      <c r="H62" s="3" t="n"/>
      <c r="I62" s="3" t="n"/>
      <c r="L62">
        <f>IF(AND(F62&lt;&gt;"已完成",I62&lt;&gt;"",TODAY()&gt;I62),"逾期","正常")</f>
        <v/>
      </c>
    </row>
    <row r="63">
      <c r="G63" s="2" t="n"/>
      <c r="H63" s="3" t="n"/>
      <c r="I63" s="3" t="n"/>
      <c r="L63">
        <f>IF(AND(F63&lt;&gt;"已完成",I63&lt;&gt;"",TODAY()&gt;I63),"逾期","正常")</f>
        <v/>
      </c>
    </row>
    <row r="64">
      <c r="G64" s="2" t="n"/>
      <c r="H64" s="3" t="n"/>
      <c r="I64" s="3" t="n"/>
      <c r="L64">
        <f>IF(AND(F64&lt;&gt;"已完成",I64&lt;&gt;"",TODAY()&gt;I64),"逾期","正常")</f>
        <v/>
      </c>
    </row>
    <row r="65">
      <c r="G65" s="2" t="n"/>
      <c r="H65" s="3" t="n"/>
      <c r="I65" s="3" t="n"/>
      <c r="L65">
        <f>IF(AND(F65&lt;&gt;"已完成",I65&lt;&gt;"",TODAY()&gt;I65),"逾期","正常")</f>
        <v/>
      </c>
    </row>
    <row r="66">
      <c r="G66" s="2" t="n"/>
      <c r="H66" s="3" t="n"/>
      <c r="I66" s="3" t="n"/>
      <c r="L66">
        <f>IF(AND(F66&lt;&gt;"已完成",I66&lt;&gt;"",TODAY()&gt;I66),"逾期","正常")</f>
        <v/>
      </c>
    </row>
    <row r="67">
      <c r="G67" s="2" t="n"/>
      <c r="H67" s="3" t="n"/>
      <c r="I67" s="3" t="n"/>
      <c r="L67">
        <f>IF(AND(F67&lt;&gt;"已完成",I67&lt;&gt;"",TODAY()&gt;I67),"逾期","正常")</f>
        <v/>
      </c>
    </row>
    <row r="68">
      <c r="G68" s="2" t="n"/>
      <c r="H68" s="3" t="n"/>
      <c r="I68" s="3" t="n"/>
      <c r="L68">
        <f>IF(AND(F68&lt;&gt;"已完成",I68&lt;&gt;"",TODAY()&gt;I68),"逾期","正常")</f>
        <v/>
      </c>
    </row>
    <row r="69">
      <c r="G69" s="2" t="n"/>
      <c r="H69" s="3" t="n"/>
      <c r="I69" s="3" t="n"/>
      <c r="L69">
        <f>IF(AND(F69&lt;&gt;"已完成",I69&lt;&gt;"",TODAY()&gt;I69),"逾期","正常")</f>
        <v/>
      </c>
    </row>
    <row r="70">
      <c r="G70" s="2" t="n"/>
      <c r="H70" s="3" t="n"/>
      <c r="I70" s="3" t="n"/>
      <c r="L70">
        <f>IF(AND(F70&lt;&gt;"已完成",I70&lt;&gt;"",TODAY()&gt;I70),"逾期","正常")</f>
        <v/>
      </c>
    </row>
    <row r="71">
      <c r="G71" s="2" t="n"/>
      <c r="H71" s="3" t="n"/>
      <c r="I71" s="3" t="n"/>
      <c r="L71">
        <f>IF(AND(F71&lt;&gt;"已完成",I71&lt;&gt;"",TODAY()&gt;I71),"逾期","正常")</f>
        <v/>
      </c>
    </row>
    <row r="72">
      <c r="G72" s="2" t="n"/>
      <c r="H72" s="3" t="n"/>
      <c r="I72" s="3" t="n"/>
      <c r="L72">
        <f>IF(AND(F72&lt;&gt;"已完成",I72&lt;&gt;"",TODAY()&gt;I72),"逾期","正常")</f>
        <v/>
      </c>
    </row>
    <row r="73">
      <c r="G73" s="2" t="n"/>
      <c r="H73" s="3" t="n"/>
      <c r="I73" s="3" t="n"/>
      <c r="L73">
        <f>IF(AND(F73&lt;&gt;"已完成",I73&lt;&gt;"",TODAY()&gt;I73),"逾期","正常")</f>
        <v/>
      </c>
    </row>
    <row r="74">
      <c r="G74" s="2" t="n"/>
      <c r="H74" s="3" t="n"/>
      <c r="I74" s="3" t="n"/>
      <c r="L74">
        <f>IF(AND(F74&lt;&gt;"已完成",I74&lt;&gt;"",TODAY()&gt;I74),"逾期","正常")</f>
        <v/>
      </c>
    </row>
    <row r="75">
      <c r="G75" s="2" t="n"/>
      <c r="H75" s="3" t="n"/>
      <c r="I75" s="3" t="n"/>
      <c r="L75">
        <f>IF(AND(F75&lt;&gt;"已完成",I75&lt;&gt;"",TODAY()&gt;I75),"逾期","正常")</f>
        <v/>
      </c>
    </row>
    <row r="76">
      <c r="G76" s="2" t="n"/>
      <c r="H76" s="3" t="n"/>
      <c r="I76" s="3" t="n"/>
      <c r="L76">
        <f>IF(AND(F76&lt;&gt;"已完成",I76&lt;&gt;"",TODAY()&gt;I76),"逾期","正常")</f>
        <v/>
      </c>
    </row>
    <row r="77">
      <c r="G77" s="2" t="n"/>
      <c r="H77" s="3" t="n"/>
      <c r="I77" s="3" t="n"/>
      <c r="L77">
        <f>IF(AND(F77&lt;&gt;"已完成",I77&lt;&gt;"",TODAY()&gt;I77),"逾期","正常")</f>
        <v/>
      </c>
    </row>
    <row r="78">
      <c r="G78" s="2" t="n"/>
      <c r="H78" s="3" t="n"/>
      <c r="I78" s="3" t="n"/>
      <c r="L78">
        <f>IF(AND(F78&lt;&gt;"已完成",I78&lt;&gt;"",TODAY()&gt;I78),"逾期","正常")</f>
        <v/>
      </c>
    </row>
    <row r="79">
      <c r="G79" s="2" t="n"/>
      <c r="H79" s="3" t="n"/>
      <c r="I79" s="3" t="n"/>
      <c r="L79">
        <f>IF(AND(F79&lt;&gt;"已完成",I79&lt;&gt;"",TODAY()&gt;I79),"逾期","正常")</f>
        <v/>
      </c>
    </row>
    <row r="80">
      <c r="G80" s="2" t="n"/>
      <c r="H80" s="3" t="n"/>
      <c r="I80" s="3" t="n"/>
      <c r="L80">
        <f>IF(AND(F80&lt;&gt;"已完成",I80&lt;&gt;"",TODAY()&gt;I80),"逾期","正常")</f>
        <v/>
      </c>
    </row>
    <row r="81">
      <c r="G81" s="2" t="n"/>
      <c r="H81" s="3" t="n"/>
      <c r="I81" s="3" t="n"/>
      <c r="L81">
        <f>IF(AND(F81&lt;&gt;"已完成",I81&lt;&gt;"",TODAY()&gt;I81),"逾期","正常")</f>
        <v/>
      </c>
    </row>
    <row r="82">
      <c r="G82" s="2" t="n"/>
      <c r="H82" s="3" t="n"/>
      <c r="I82" s="3" t="n"/>
      <c r="L82">
        <f>IF(AND(F82&lt;&gt;"已完成",I82&lt;&gt;"",TODAY()&gt;I82),"逾期","正常")</f>
        <v/>
      </c>
    </row>
    <row r="83">
      <c r="G83" s="2" t="n"/>
      <c r="H83" s="3" t="n"/>
      <c r="I83" s="3" t="n"/>
      <c r="L83">
        <f>IF(AND(F83&lt;&gt;"已完成",I83&lt;&gt;"",TODAY()&gt;I83),"逾期","正常")</f>
        <v/>
      </c>
    </row>
    <row r="84">
      <c r="G84" s="2" t="n"/>
      <c r="H84" s="3" t="n"/>
      <c r="I84" s="3" t="n"/>
      <c r="L84">
        <f>IF(AND(F84&lt;&gt;"已完成",I84&lt;&gt;"",TODAY()&gt;I84),"逾期","正常")</f>
        <v/>
      </c>
    </row>
    <row r="85">
      <c r="G85" s="2" t="n"/>
      <c r="H85" s="3" t="n"/>
      <c r="I85" s="3" t="n"/>
      <c r="L85">
        <f>IF(AND(F85&lt;&gt;"已完成",I85&lt;&gt;"",TODAY()&gt;I85),"逾期","正常")</f>
        <v/>
      </c>
    </row>
    <row r="86">
      <c r="G86" s="2" t="n"/>
      <c r="H86" s="3" t="n"/>
      <c r="I86" s="3" t="n"/>
      <c r="L86">
        <f>IF(AND(F86&lt;&gt;"已完成",I86&lt;&gt;"",TODAY()&gt;I86),"逾期","正常")</f>
        <v/>
      </c>
    </row>
    <row r="87">
      <c r="G87" s="2" t="n"/>
      <c r="H87" s="3" t="n"/>
      <c r="I87" s="3" t="n"/>
      <c r="L87">
        <f>IF(AND(F87&lt;&gt;"已完成",I87&lt;&gt;"",TODAY()&gt;I87),"逾期","正常")</f>
        <v/>
      </c>
    </row>
    <row r="88">
      <c r="G88" s="2" t="n"/>
      <c r="H88" s="3" t="n"/>
      <c r="I88" s="3" t="n"/>
      <c r="L88">
        <f>IF(AND(F88&lt;&gt;"已完成",I88&lt;&gt;"",TODAY()&gt;I88),"逾期","正常")</f>
        <v/>
      </c>
    </row>
    <row r="89">
      <c r="G89" s="2" t="n"/>
      <c r="H89" s="3" t="n"/>
      <c r="I89" s="3" t="n"/>
      <c r="L89">
        <f>IF(AND(F89&lt;&gt;"已完成",I89&lt;&gt;"",TODAY()&gt;I89),"逾期","正常")</f>
        <v/>
      </c>
    </row>
    <row r="90">
      <c r="G90" s="2" t="n"/>
      <c r="H90" s="3" t="n"/>
      <c r="I90" s="3" t="n"/>
      <c r="L90">
        <f>IF(AND(F90&lt;&gt;"已完成",I90&lt;&gt;"",TODAY()&gt;I90),"逾期","正常")</f>
        <v/>
      </c>
    </row>
    <row r="91">
      <c r="G91" s="2" t="n"/>
      <c r="H91" s="3" t="n"/>
      <c r="I91" s="3" t="n"/>
      <c r="L91">
        <f>IF(AND(F91&lt;&gt;"已完成",I91&lt;&gt;"",TODAY()&gt;I91),"逾期","正常")</f>
        <v/>
      </c>
    </row>
    <row r="92">
      <c r="G92" s="2" t="n"/>
      <c r="H92" s="3" t="n"/>
      <c r="I92" s="3" t="n"/>
      <c r="L92">
        <f>IF(AND(F92&lt;&gt;"已完成",I92&lt;&gt;"",TODAY()&gt;I92),"逾期","正常")</f>
        <v/>
      </c>
    </row>
    <row r="93">
      <c r="G93" s="2" t="n"/>
      <c r="H93" s="3" t="n"/>
      <c r="I93" s="3" t="n"/>
      <c r="L93">
        <f>IF(AND(F93&lt;&gt;"已完成",I93&lt;&gt;"",TODAY()&gt;I93),"逾期","正常")</f>
        <v/>
      </c>
    </row>
    <row r="94">
      <c r="G94" s="2" t="n"/>
      <c r="H94" s="3" t="n"/>
      <c r="I94" s="3" t="n"/>
      <c r="L94">
        <f>IF(AND(F94&lt;&gt;"已完成",I94&lt;&gt;"",TODAY()&gt;I94),"逾期","正常")</f>
        <v/>
      </c>
    </row>
    <row r="95">
      <c r="G95" s="2" t="n"/>
      <c r="H95" s="3" t="n"/>
      <c r="I95" s="3" t="n"/>
      <c r="L95">
        <f>IF(AND(F95&lt;&gt;"已完成",I95&lt;&gt;"",TODAY()&gt;I95),"逾期","正常")</f>
        <v/>
      </c>
    </row>
    <row r="96">
      <c r="G96" s="2" t="n"/>
      <c r="H96" s="3" t="n"/>
      <c r="I96" s="3" t="n"/>
      <c r="L96">
        <f>IF(AND(F96&lt;&gt;"已完成",I96&lt;&gt;"",TODAY()&gt;I96),"逾期","正常")</f>
        <v/>
      </c>
    </row>
    <row r="97">
      <c r="G97" s="2" t="n"/>
      <c r="H97" s="3" t="n"/>
      <c r="I97" s="3" t="n"/>
      <c r="L97">
        <f>IF(AND(F97&lt;&gt;"已完成",I97&lt;&gt;"",TODAY()&gt;I97),"逾期","正常")</f>
        <v/>
      </c>
    </row>
    <row r="98">
      <c r="G98" s="2" t="n"/>
      <c r="H98" s="3" t="n"/>
      <c r="I98" s="3" t="n"/>
      <c r="L98">
        <f>IF(AND(F98&lt;&gt;"已完成",I98&lt;&gt;"",TODAY()&gt;I98),"逾期","正常")</f>
        <v/>
      </c>
    </row>
    <row r="99">
      <c r="G99" s="2" t="n"/>
      <c r="H99" s="3" t="n"/>
      <c r="I99" s="3" t="n"/>
      <c r="L99">
        <f>IF(AND(F99&lt;&gt;"已完成",I99&lt;&gt;"",TODAY()&gt;I99),"逾期","正常")</f>
        <v/>
      </c>
    </row>
    <row r="100">
      <c r="G100" s="2" t="n"/>
      <c r="H100" s="3" t="n"/>
      <c r="I100" s="3" t="n"/>
      <c r="L100">
        <f>IF(AND(F100&lt;&gt;"已完成",I100&lt;&gt;"",TODAY()&gt;I100),"逾期","正常")</f>
        <v/>
      </c>
    </row>
    <row r="101">
      <c r="G101" s="2" t="n"/>
      <c r="H101" s="3" t="n"/>
      <c r="I101" s="3" t="n"/>
      <c r="L101">
        <f>IF(AND(F101&lt;&gt;"已完成",I101&lt;&gt;"",TODAY()&gt;I101),"逾期","正常")</f>
        <v/>
      </c>
    </row>
    <row r="102">
      <c r="G102" s="2" t="n"/>
      <c r="H102" s="3" t="n"/>
      <c r="I102" s="3" t="n"/>
      <c r="L102">
        <f>IF(AND(F102&lt;&gt;"已完成",I102&lt;&gt;"",TODAY()&gt;I102),"逾期","正常")</f>
        <v/>
      </c>
    </row>
    <row r="103">
      <c r="G103" s="2" t="n"/>
      <c r="H103" s="3" t="n"/>
      <c r="I103" s="3" t="n"/>
      <c r="L103">
        <f>IF(AND(F103&lt;&gt;"已完成",I103&lt;&gt;"",TODAY()&gt;I103),"逾期","正常")</f>
        <v/>
      </c>
    </row>
    <row r="104">
      <c r="G104" s="2" t="n"/>
      <c r="H104" s="3" t="n"/>
      <c r="I104" s="3" t="n"/>
      <c r="L104">
        <f>IF(AND(F104&lt;&gt;"已完成",I104&lt;&gt;"",TODAY()&gt;I104),"逾期","正常")</f>
        <v/>
      </c>
    </row>
    <row r="105">
      <c r="G105" s="2" t="n"/>
      <c r="H105" s="3" t="n"/>
      <c r="I105" s="3" t="n"/>
      <c r="L105">
        <f>IF(AND(F105&lt;&gt;"已完成",I105&lt;&gt;"",TODAY()&gt;I105),"逾期","正常")</f>
        <v/>
      </c>
    </row>
    <row r="106">
      <c r="G106" s="2" t="n"/>
      <c r="H106" s="3" t="n"/>
      <c r="I106" s="3" t="n"/>
      <c r="L106">
        <f>IF(AND(F106&lt;&gt;"已完成",I106&lt;&gt;"",TODAY()&gt;I106),"逾期","正常")</f>
        <v/>
      </c>
    </row>
    <row r="107">
      <c r="G107" s="2" t="n"/>
      <c r="H107" s="3" t="n"/>
      <c r="I107" s="3" t="n"/>
      <c r="L107">
        <f>IF(AND(F107&lt;&gt;"已完成",I107&lt;&gt;"",TODAY()&gt;I107),"逾期","正常")</f>
        <v/>
      </c>
    </row>
    <row r="108">
      <c r="G108" s="2" t="n"/>
      <c r="H108" s="3" t="n"/>
      <c r="I108" s="3" t="n"/>
      <c r="L108">
        <f>IF(AND(F108&lt;&gt;"已完成",I108&lt;&gt;"",TODAY()&gt;I108),"逾期","正常")</f>
        <v/>
      </c>
    </row>
    <row r="109">
      <c r="G109" s="2" t="n"/>
      <c r="H109" s="3" t="n"/>
      <c r="I109" s="3" t="n"/>
      <c r="L109">
        <f>IF(AND(F109&lt;&gt;"已完成",I109&lt;&gt;"",TODAY()&gt;I109),"逾期","正常")</f>
        <v/>
      </c>
    </row>
    <row r="110">
      <c r="G110" s="2" t="n"/>
      <c r="H110" s="3" t="n"/>
      <c r="I110" s="3" t="n"/>
      <c r="L110">
        <f>IF(AND(F110&lt;&gt;"已完成",I110&lt;&gt;"",TODAY()&gt;I110),"逾期","正常")</f>
        <v/>
      </c>
    </row>
    <row r="111">
      <c r="G111" s="2" t="n"/>
      <c r="H111" s="3" t="n"/>
      <c r="I111" s="3" t="n"/>
      <c r="L111">
        <f>IF(AND(F111&lt;&gt;"已完成",I111&lt;&gt;"",TODAY()&gt;I111),"逾期","正常")</f>
        <v/>
      </c>
    </row>
    <row r="112">
      <c r="G112" s="2" t="n"/>
      <c r="H112" s="3" t="n"/>
      <c r="I112" s="3" t="n"/>
      <c r="L112">
        <f>IF(AND(F112&lt;&gt;"已完成",I112&lt;&gt;"",TODAY()&gt;I112),"逾期","正常")</f>
        <v/>
      </c>
    </row>
    <row r="113">
      <c r="G113" s="2" t="n"/>
      <c r="H113" s="3" t="n"/>
      <c r="I113" s="3" t="n"/>
      <c r="L113">
        <f>IF(AND(F113&lt;&gt;"已完成",I113&lt;&gt;"",TODAY()&gt;I113),"逾期","正常")</f>
        <v/>
      </c>
    </row>
    <row r="114">
      <c r="G114" s="2" t="n"/>
      <c r="H114" s="3" t="n"/>
      <c r="I114" s="3" t="n"/>
      <c r="L114">
        <f>IF(AND(F114&lt;&gt;"已完成",I114&lt;&gt;"",TODAY()&gt;I114),"逾期","正常")</f>
        <v/>
      </c>
    </row>
    <row r="115">
      <c r="G115" s="2" t="n"/>
      <c r="H115" s="3" t="n"/>
      <c r="I115" s="3" t="n"/>
      <c r="L115">
        <f>IF(AND(F115&lt;&gt;"已完成",I115&lt;&gt;"",TODAY()&gt;I115),"逾期","正常")</f>
        <v/>
      </c>
    </row>
    <row r="116">
      <c r="G116" s="2" t="n"/>
      <c r="H116" s="3" t="n"/>
      <c r="I116" s="3" t="n"/>
      <c r="L116">
        <f>IF(AND(F116&lt;&gt;"已完成",I116&lt;&gt;"",TODAY()&gt;I116),"逾期","正常")</f>
        <v/>
      </c>
    </row>
    <row r="117">
      <c r="G117" s="2" t="n"/>
      <c r="H117" s="3" t="n"/>
      <c r="I117" s="3" t="n"/>
      <c r="L117">
        <f>IF(AND(F117&lt;&gt;"已完成",I117&lt;&gt;"",TODAY()&gt;I117),"逾期","正常")</f>
        <v/>
      </c>
    </row>
    <row r="118">
      <c r="G118" s="2" t="n"/>
      <c r="H118" s="3" t="n"/>
      <c r="I118" s="3" t="n"/>
      <c r="L118">
        <f>IF(AND(F118&lt;&gt;"已完成",I118&lt;&gt;"",TODAY()&gt;I118),"逾期","正常")</f>
        <v/>
      </c>
    </row>
    <row r="119">
      <c r="G119" s="2" t="n"/>
      <c r="H119" s="3" t="n"/>
      <c r="I119" s="3" t="n"/>
      <c r="L119">
        <f>IF(AND(F119&lt;&gt;"已完成",I119&lt;&gt;"",TODAY()&gt;I119),"逾期","正常")</f>
        <v/>
      </c>
    </row>
    <row r="120">
      <c r="G120" s="2" t="n"/>
      <c r="H120" s="3" t="n"/>
      <c r="I120" s="3" t="n"/>
      <c r="L120">
        <f>IF(AND(F120&lt;&gt;"已完成",I120&lt;&gt;"",TODAY()&gt;I120),"逾期","正常")</f>
        <v/>
      </c>
    </row>
    <row r="121">
      <c r="G121" s="2" t="n"/>
      <c r="H121" s="3" t="n"/>
      <c r="I121" s="3" t="n"/>
      <c r="L121">
        <f>IF(AND(F121&lt;&gt;"已完成",I121&lt;&gt;"",TODAY()&gt;I121),"逾期","正常")</f>
        <v/>
      </c>
    </row>
    <row r="122">
      <c r="G122" s="2" t="n"/>
      <c r="H122" s="3" t="n"/>
      <c r="I122" s="3" t="n"/>
      <c r="L122">
        <f>IF(AND(F122&lt;&gt;"已完成",I122&lt;&gt;"",TODAY()&gt;I122),"逾期","正常")</f>
        <v/>
      </c>
    </row>
    <row r="123">
      <c r="G123" s="2" t="n"/>
      <c r="H123" s="3" t="n"/>
      <c r="I123" s="3" t="n"/>
      <c r="L123">
        <f>IF(AND(F123&lt;&gt;"已完成",I123&lt;&gt;"",TODAY()&gt;I123),"逾期","正常")</f>
        <v/>
      </c>
    </row>
    <row r="124">
      <c r="G124" s="2" t="n"/>
      <c r="H124" s="3" t="n"/>
      <c r="I124" s="3" t="n"/>
      <c r="L124">
        <f>IF(AND(F124&lt;&gt;"已完成",I124&lt;&gt;"",TODAY()&gt;I124),"逾期","正常")</f>
        <v/>
      </c>
    </row>
    <row r="125">
      <c r="G125" s="2" t="n"/>
      <c r="H125" s="3" t="n"/>
      <c r="I125" s="3" t="n"/>
      <c r="L125">
        <f>IF(AND(F125&lt;&gt;"已完成",I125&lt;&gt;"",TODAY()&gt;I125),"逾期","正常")</f>
        <v/>
      </c>
    </row>
    <row r="126">
      <c r="G126" s="2" t="n"/>
      <c r="H126" s="3" t="n"/>
      <c r="I126" s="3" t="n"/>
      <c r="L126">
        <f>IF(AND(F126&lt;&gt;"已完成",I126&lt;&gt;"",TODAY()&gt;I126),"逾期","正常")</f>
        <v/>
      </c>
    </row>
    <row r="127">
      <c r="G127" s="2" t="n"/>
      <c r="H127" s="3" t="n"/>
      <c r="I127" s="3" t="n"/>
      <c r="L127">
        <f>IF(AND(F127&lt;&gt;"已完成",I127&lt;&gt;"",TODAY()&gt;I127),"逾期","正常")</f>
        <v/>
      </c>
    </row>
    <row r="128">
      <c r="G128" s="2" t="n"/>
      <c r="H128" s="3" t="n"/>
      <c r="I128" s="3" t="n"/>
      <c r="L128">
        <f>IF(AND(F128&lt;&gt;"已完成",I128&lt;&gt;"",TODAY()&gt;I128),"逾期","正常")</f>
        <v/>
      </c>
    </row>
    <row r="129">
      <c r="G129" s="2" t="n"/>
      <c r="H129" s="3" t="n"/>
      <c r="I129" s="3" t="n"/>
      <c r="L129">
        <f>IF(AND(F129&lt;&gt;"已完成",I129&lt;&gt;"",TODAY()&gt;I129),"逾期","正常")</f>
        <v/>
      </c>
    </row>
    <row r="130">
      <c r="G130" s="2" t="n"/>
      <c r="H130" s="3" t="n"/>
      <c r="I130" s="3" t="n"/>
      <c r="L130">
        <f>IF(AND(F130&lt;&gt;"已完成",I130&lt;&gt;"",TODAY()&gt;I130),"逾期","正常")</f>
        <v/>
      </c>
    </row>
    <row r="131">
      <c r="G131" s="2" t="n"/>
      <c r="H131" s="3" t="n"/>
      <c r="I131" s="3" t="n"/>
      <c r="L131">
        <f>IF(AND(F131&lt;&gt;"已完成",I131&lt;&gt;"",TODAY()&gt;I131),"逾期","正常")</f>
        <v/>
      </c>
    </row>
    <row r="132">
      <c r="G132" s="2" t="n"/>
      <c r="H132" s="3" t="n"/>
      <c r="I132" s="3" t="n"/>
      <c r="L132">
        <f>IF(AND(F132&lt;&gt;"已完成",I132&lt;&gt;"",TODAY()&gt;I132),"逾期","正常")</f>
        <v/>
      </c>
    </row>
    <row r="133">
      <c r="G133" s="2" t="n"/>
      <c r="H133" s="3" t="n"/>
      <c r="I133" s="3" t="n"/>
      <c r="L133">
        <f>IF(AND(F133&lt;&gt;"已完成",I133&lt;&gt;"",TODAY()&gt;I133),"逾期","正常")</f>
        <v/>
      </c>
    </row>
    <row r="134">
      <c r="G134" s="2" t="n"/>
      <c r="H134" s="3" t="n"/>
      <c r="I134" s="3" t="n"/>
      <c r="L134">
        <f>IF(AND(F134&lt;&gt;"已完成",I134&lt;&gt;"",TODAY()&gt;I134),"逾期","正常")</f>
        <v/>
      </c>
    </row>
    <row r="135">
      <c r="G135" s="2" t="n"/>
      <c r="H135" s="3" t="n"/>
      <c r="I135" s="3" t="n"/>
      <c r="L135">
        <f>IF(AND(F135&lt;&gt;"已完成",I135&lt;&gt;"",TODAY()&gt;I135),"逾期","正常")</f>
        <v/>
      </c>
    </row>
    <row r="136">
      <c r="G136" s="2" t="n"/>
      <c r="H136" s="3" t="n"/>
      <c r="I136" s="3" t="n"/>
      <c r="L136">
        <f>IF(AND(F136&lt;&gt;"已完成",I136&lt;&gt;"",TODAY()&gt;I136),"逾期","正常")</f>
        <v/>
      </c>
    </row>
    <row r="137">
      <c r="G137" s="2" t="n"/>
      <c r="H137" s="3" t="n"/>
      <c r="I137" s="3" t="n"/>
      <c r="L137">
        <f>IF(AND(F137&lt;&gt;"已完成",I137&lt;&gt;"",TODAY()&gt;I137),"逾期","正常")</f>
        <v/>
      </c>
    </row>
    <row r="138">
      <c r="G138" s="2" t="n"/>
      <c r="H138" s="3" t="n"/>
      <c r="I138" s="3" t="n"/>
      <c r="L138">
        <f>IF(AND(F138&lt;&gt;"已完成",I138&lt;&gt;"",TODAY()&gt;I138),"逾期","正常")</f>
        <v/>
      </c>
    </row>
    <row r="139">
      <c r="G139" s="2" t="n"/>
      <c r="H139" s="3" t="n"/>
      <c r="I139" s="3" t="n"/>
      <c r="L139">
        <f>IF(AND(F139&lt;&gt;"已完成",I139&lt;&gt;"",TODAY()&gt;I139),"逾期","正常")</f>
        <v/>
      </c>
    </row>
    <row r="140">
      <c r="G140" s="2" t="n"/>
      <c r="H140" s="3" t="n"/>
      <c r="I140" s="3" t="n"/>
      <c r="L140">
        <f>IF(AND(F140&lt;&gt;"已完成",I140&lt;&gt;"",TODAY()&gt;I140),"逾期","正常")</f>
        <v/>
      </c>
    </row>
    <row r="141">
      <c r="G141" s="2" t="n"/>
      <c r="H141" s="3" t="n"/>
      <c r="I141" s="3" t="n"/>
      <c r="L141">
        <f>IF(AND(F141&lt;&gt;"已完成",I141&lt;&gt;"",TODAY()&gt;I141),"逾期","正常")</f>
        <v/>
      </c>
    </row>
    <row r="142">
      <c r="G142" s="2" t="n"/>
      <c r="H142" s="3" t="n"/>
      <c r="I142" s="3" t="n"/>
      <c r="L142">
        <f>IF(AND(F142&lt;&gt;"已完成",I142&lt;&gt;"",TODAY()&gt;I142),"逾期","正常")</f>
        <v/>
      </c>
    </row>
    <row r="143">
      <c r="G143" s="2" t="n"/>
      <c r="H143" s="3" t="n"/>
      <c r="I143" s="3" t="n"/>
      <c r="L143">
        <f>IF(AND(F143&lt;&gt;"已完成",I143&lt;&gt;"",TODAY()&gt;I143),"逾期","正常")</f>
        <v/>
      </c>
    </row>
    <row r="144">
      <c r="G144" s="2" t="n"/>
      <c r="H144" s="3" t="n"/>
      <c r="I144" s="3" t="n"/>
      <c r="L144">
        <f>IF(AND(F144&lt;&gt;"已完成",I144&lt;&gt;"",TODAY()&gt;I144),"逾期","正常")</f>
        <v/>
      </c>
    </row>
    <row r="145">
      <c r="G145" s="2" t="n"/>
      <c r="H145" s="3" t="n"/>
      <c r="I145" s="3" t="n"/>
      <c r="L145">
        <f>IF(AND(F145&lt;&gt;"已完成",I145&lt;&gt;"",TODAY()&gt;I145),"逾期","正常")</f>
        <v/>
      </c>
    </row>
    <row r="146">
      <c r="G146" s="2" t="n"/>
      <c r="H146" s="3" t="n"/>
      <c r="I146" s="3" t="n"/>
      <c r="L146">
        <f>IF(AND(F146&lt;&gt;"已完成",I146&lt;&gt;"",TODAY()&gt;I146),"逾期","正常")</f>
        <v/>
      </c>
    </row>
    <row r="147">
      <c r="G147" s="2" t="n"/>
      <c r="H147" s="3" t="n"/>
      <c r="I147" s="3" t="n"/>
      <c r="L147">
        <f>IF(AND(F147&lt;&gt;"已完成",I147&lt;&gt;"",TODAY()&gt;I147),"逾期","正常")</f>
        <v/>
      </c>
    </row>
    <row r="148">
      <c r="G148" s="2" t="n"/>
      <c r="H148" s="3" t="n"/>
      <c r="I148" s="3" t="n"/>
      <c r="L148">
        <f>IF(AND(F148&lt;&gt;"已完成",I148&lt;&gt;"",TODAY()&gt;I148),"逾期","正常")</f>
        <v/>
      </c>
    </row>
    <row r="149">
      <c r="G149" s="2" t="n"/>
      <c r="H149" s="3" t="n"/>
      <c r="I149" s="3" t="n"/>
      <c r="L149">
        <f>IF(AND(F149&lt;&gt;"已完成",I149&lt;&gt;"",TODAY()&gt;I149),"逾期","正常")</f>
        <v/>
      </c>
    </row>
    <row r="150">
      <c r="G150" s="2" t="n"/>
      <c r="H150" s="3" t="n"/>
      <c r="I150" s="3" t="n"/>
      <c r="L150">
        <f>IF(AND(F150&lt;&gt;"已完成",I150&lt;&gt;"",TODAY()&gt;I150),"逾期","正常")</f>
        <v/>
      </c>
    </row>
    <row r="151">
      <c r="G151" s="2" t="n"/>
      <c r="H151" s="3" t="n"/>
      <c r="I151" s="3" t="n"/>
      <c r="L151">
        <f>IF(AND(F151&lt;&gt;"已完成",I151&lt;&gt;"",TODAY()&gt;I151),"逾期","正常")</f>
        <v/>
      </c>
    </row>
    <row r="152">
      <c r="G152" s="2" t="n"/>
      <c r="H152" s="3" t="n"/>
      <c r="I152" s="3" t="n"/>
      <c r="L152">
        <f>IF(AND(F152&lt;&gt;"已完成",I152&lt;&gt;"",TODAY()&gt;I152),"逾期","正常")</f>
        <v/>
      </c>
    </row>
    <row r="153">
      <c r="G153" s="2" t="n"/>
      <c r="H153" s="3" t="n"/>
      <c r="I153" s="3" t="n"/>
      <c r="L153">
        <f>IF(AND(F153&lt;&gt;"已完成",I153&lt;&gt;"",TODAY()&gt;I153),"逾期","正常")</f>
        <v/>
      </c>
    </row>
    <row r="154">
      <c r="G154" s="2" t="n"/>
      <c r="H154" s="3" t="n"/>
      <c r="I154" s="3" t="n"/>
      <c r="L154">
        <f>IF(AND(F154&lt;&gt;"已完成",I154&lt;&gt;"",TODAY()&gt;I154),"逾期","正常")</f>
        <v/>
      </c>
    </row>
    <row r="155">
      <c r="G155" s="2" t="n"/>
      <c r="H155" s="3" t="n"/>
      <c r="I155" s="3" t="n"/>
      <c r="L155">
        <f>IF(AND(F155&lt;&gt;"已完成",I155&lt;&gt;"",TODAY()&gt;I155),"逾期","正常")</f>
        <v/>
      </c>
    </row>
    <row r="156">
      <c r="G156" s="2" t="n"/>
      <c r="H156" s="3" t="n"/>
      <c r="I156" s="3" t="n"/>
      <c r="L156">
        <f>IF(AND(F156&lt;&gt;"已完成",I156&lt;&gt;"",TODAY()&gt;I156),"逾期","正常")</f>
        <v/>
      </c>
    </row>
    <row r="157">
      <c r="G157" s="2" t="n"/>
      <c r="H157" s="3" t="n"/>
      <c r="I157" s="3" t="n"/>
      <c r="L157">
        <f>IF(AND(F157&lt;&gt;"已完成",I157&lt;&gt;"",TODAY()&gt;I157),"逾期","正常")</f>
        <v/>
      </c>
    </row>
    <row r="158">
      <c r="G158" s="2" t="n"/>
      <c r="H158" s="3" t="n"/>
      <c r="I158" s="3" t="n"/>
      <c r="L158">
        <f>IF(AND(F158&lt;&gt;"已完成",I158&lt;&gt;"",TODAY()&gt;I158),"逾期","正常")</f>
        <v/>
      </c>
    </row>
    <row r="159">
      <c r="G159" s="2" t="n"/>
      <c r="H159" s="3" t="n"/>
      <c r="I159" s="3" t="n"/>
      <c r="L159">
        <f>IF(AND(F159&lt;&gt;"已完成",I159&lt;&gt;"",TODAY()&gt;I159),"逾期","正常")</f>
        <v/>
      </c>
    </row>
    <row r="160">
      <c r="G160" s="2" t="n"/>
      <c r="H160" s="3" t="n"/>
      <c r="I160" s="3" t="n"/>
      <c r="L160">
        <f>IF(AND(F160&lt;&gt;"已完成",I160&lt;&gt;"",TODAY()&gt;I160),"逾期","正常")</f>
        <v/>
      </c>
    </row>
    <row r="161">
      <c r="G161" s="2" t="n"/>
      <c r="H161" s="3" t="n"/>
      <c r="I161" s="3" t="n"/>
      <c r="L161">
        <f>IF(AND(F161&lt;&gt;"已完成",I161&lt;&gt;"",TODAY()&gt;I161),"逾期","正常")</f>
        <v/>
      </c>
    </row>
    <row r="162">
      <c r="G162" s="2" t="n"/>
      <c r="H162" s="3" t="n"/>
      <c r="I162" s="3" t="n"/>
      <c r="L162">
        <f>IF(AND(F162&lt;&gt;"已完成",I162&lt;&gt;"",TODAY()&gt;I162),"逾期","正常")</f>
        <v/>
      </c>
    </row>
    <row r="163">
      <c r="G163" s="2" t="n"/>
      <c r="H163" s="3" t="n"/>
      <c r="I163" s="3" t="n"/>
      <c r="L163">
        <f>IF(AND(F163&lt;&gt;"已完成",I163&lt;&gt;"",TODAY()&gt;I163),"逾期","正常")</f>
        <v/>
      </c>
    </row>
    <row r="164">
      <c r="G164" s="2" t="n"/>
      <c r="H164" s="3" t="n"/>
      <c r="I164" s="3" t="n"/>
      <c r="L164">
        <f>IF(AND(F164&lt;&gt;"已完成",I164&lt;&gt;"",TODAY()&gt;I164),"逾期","正常")</f>
        <v/>
      </c>
    </row>
    <row r="165">
      <c r="G165" s="2" t="n"/>
      <c r="H165" s="3" t="n"/>
      <c r="I165" s="3" t="n"/>
      <c r="L165">
        <f>IF(AND(F165&lt;&gt;"已完成",I165&lt;&gt;"",TODAY()&gt;I165),"逾期","正常")</f>
        <v/>
      </c>
    </row>
    <row r="166">
      <c r="G166" s="2" t="n"/>
      <c r="H166" s="3" t="n"/>
      <c r="I166" s="3" t="n"/>
      <c r="L166">
        <f>IF(AND(F166&lt;&gt;"已完成",I166&lt;&gt;"",TODAY()&gt;I166),"逾期","正常")</f>
        <v/>
      </c>
    </row>
    <row r="167">
      <c r="G167" s="2" t="n"/>
      <c r="H167" s="3" t="n"/>
      <c r="I167" s="3" t="n"/>
      <c r="L167">
        <f>IF(AND(F167&lt;&gt;"已完成",I167&lt;&gt;"",TODAY()&gt;I167),"逾期","正常")</f>
        <v/>
      </c>
    </row>
    <row r="168">
      <c r="G168" s="2" t="n"/>
      <c r="H168" s="3" t="n"/>
      <c r="I168" s="3" t="n"/>
      <c r="L168">
        <f>IF(AND(F168&lt;&gt;"已完成",I168&lt;&gt;"",TODAY()&gt;I168),"逾期","正常")</f>
        <v/>
      </c>
    </row>
    <row r="169">
      <c r="G169" s="2" t="n"/>
      <c r="H169" s="3" t="n"/>
      <c r="I169" s="3" t="n"/>
      <c r="L169">
        <f>IF(AND(F169&lt;&gt;"已完成",I169&lt;&gt;"",TODAY()&gt;I169),"逾期","正常")</f>
        <v/>
      </c>
    </row>
    <row r="170">
      <c r="G170" s="2" t="n"/>
      <c r="H170" s="3" t="n"/>
      <c r="I170" s="3" t="n"/>
      <c r="L170">
        <f>IF(AND(F170&lt;&gt;"已完成",I170&lt;&gt;"",TODAY()&gt;I170),"逾期","正常")</f>
        <v/>
      </c>
    </row>
    <row r="171">
      <c r="G171" s="2" t="n"/>
      <c r="H171" s="3" t="n"/>
      <c r="I171" s="3" t="n"/>
      <c r="L171">
        <f>IF(AND(F171&lt;&gt;"已完成",I171&lt;&gt;"",TODAY()&gt;I171),"逾期","正常")</f>
        <v/>
      </c>
    </row>
    <row r="172">
      <c r="G172" s="2" t="n"/>
      <c r="H172" s="3" t="n"/>
      <c r="I172" s="3" t="n"/>
      <c r="L172">
        <f>IF(AND(F172&lt;&gt;"已完成",I172&lt;&gt;"",TODAY()&gt;I172),"逾期","正常")</f>
        <v/>
      </c>
    </row>
    <row r="173">
      <c r="G173" s="2" t="n"/>
      <c r="H173" s="3" t="n"/>
      <c r="I173" s="3" t="n"/>
      <c r="L173">
        <f>IF(AND(F173&lt;&gt;"已完成",I173&lt;&gt;"",TODAY()&gt;I173),"逾期","正常")</f>
        <v/>
      </c>
    </row>
    <row r="174">
      <c r="G174" s="2" t="n"/>
      <c r="H174" s="3" t="n"/>
      <c r="I174" s="3" t="n"/>
      <c r="L174">
        <f>IF(AND(F174&lt;&gt;"已完成",I174&lt;&gt;"",TODAY()&gt;I174),"逾期","正常")</f>
        <v/>
      </c>
    </row>
    <row r="175">
      <c r="G175" s="2" t="n"/>
      <c r="H175" s="3" t="n"/>
      <c r="I175" s="3" t="n"/>
      <c r="L175">
        <f>IF(AND(F175&lt;&gt;"已完成",I175&lt;&gt;"",TODAY()&gt;I175),"逾期","正常")</f>
        <v/>
      </c>
    </row>
    <row r="176">
      <c r="G176" s="2" t="n"/>
      <c r="H176" s="3" t="n"/>
      <c r="I176" s="3" t="n"/>
      <c r="L176">
        <f>IF(AND(F176&lt;&gt;"已完成",I176&lt;&gt;"",TODAY()&gt;I176),"逾期","正常")</f>
        <v/>
      </c>
    </row>
    <row r="177">
      <c r="G177" s="2" t="n"/>
      <c r="H177" s="3" t="n"/>
      <c r="I177" s="3" t="n"/>
      <c r="L177">
        <f>IF(AND(F177&lt;&gt;"已完成",I177&lt;&gt;"",TODAY()&gt;I177),"逾期","正常")</f>
        <v/>
      </c>
    </row>
    <row r="178">
      <c r="G178" s="2" t="n"/>
      <c r="H178" s="3" t="n"/>
      <c r="I178" s="3" t="n"/>
      <c r="L178">
        <f>IF(AND(F178&lt;&gt;"已完成",I178&lt;&gt;"",TODAY()&gt;I178),"逾期","正常")</f>
        <v/>
      </c>
    </row>
    <row r="179">
      <c r="G179" s="2" t="n"/>
      <c r="H179" s="3" t="n"/>
      <c r="I179" s="3" t="n"/>
      <c r="L179">
        <f>IF(AND(F179&lt;&gt;"已完成",I179&lt;&gt;"",TODAY()&gt;I179),"逾期","正常")</f>
        <v/>
      </c>
    </row>
    <row r="180">
      <c r="G180" s="2" t="n"/>
      <c r="H180" s="3" t="n"/>
      <c r="I180" s="3" t="n"/>
      <c r="L180">
        <f>IF(AND(F180&lt;&gt;"已完成",I180&lt;&gt;"",TODAY()&gt;I180),"逾期","正常")</f>
        <v/>
      </c>
    </row>
    <row r="181">
      <c r="G181" s="2" t="n"/>
      <c r="H181" s="3" t="n"/>
      <c r="I181" s="3" t="n"/>
      <c r="L181">
        <f>IF(AND(F181&lt;&gt;"已完成",I181&lt;&gt;"",TODAY()&gt;I181),"逾期","正常")</f>
        <v/>
      </c>
    </row>
    <row r="182">
      <c r="G182" s="2" t="n"/>
      <c r="H182" s="3" t="n"/>
      <c r="I182" s="3" t="n"/>
      <c r="L182">
        <f>IF(AND(F182&lt;&gt;"已完成",I182&lt;&gt;"",TODAY()&gt;I182),"逾期","正常")</f>
        <v/>
      </c>
    </row>
    <row r="183">
      <c r="G183" s="2" t="n"/>
      <c r="H183" s="3" t="n"/>
      <c r="I183" s="3" t="n"/>
      <c r="L183">
        <f>IF(AND(F183&lt;&gt;"已完成",I183&lt;&gt;"",TODAY()&gt;I183),"逾期","正常")</f>
        <v/>
      </c>
    </row>
    <row r="184">
      <c r="G184" s="2" t="n"/>
      <c r="H184" s="3" t="n"/>
      <c r="I184" s="3" t="n"/>
      <c r="L184">
        <f>IF(AND(F184&lt;&gt;"已完成",I184&lt;&gt;"",TODAY()&gt;I184),"逾期","正常")</f>
        <v/>
      </c>
    </row>
    <row r="185">
      <c r="G185" s="2" t="n"/>
      <c r="H185" s="3" t="n"/>
      <c r="I185" s="3" t="n"/>
      <c r="L185">
        <f>IF(AND(F185&lt;&gt;"已完成",I185&lt;&gt;"",TODAY()&gt;I185),"逾期","正常")</f>
        <v/>
      </c>
    </row>
    <row r="186">
      <c r="G186" s="2" t="n"/>
      <c r="H186" s="3" t="n"/>
      <c r="I186" s="3" t="n"/>
      <c r="L186">
        <f>IF(AND(F186&lt;&gt;"已完成",I186&lt;&gt;"",TODAY()&gt;I186),"逾期","正常")</f>
        <v/>
      </c>
    </row>
    <row r="187">
      <c r="G187" s="2" t="n"/>
      <c r="H187" s="3" t="n"/>
      <c r="I187" s="3" t="n"/>
      <c r="L187">
        <f>IF(AND(F187&lt;&gt;"已完成",I187&lt;&gt;"",TODAY()&gt;I187),"逾期","正常")</f>
        <v/>
      </c>
    </row>
    <row r="188">
      <c r="G188" s="2" t="n"/>
      <c r="H188" s="3" t="n"/>
      <c r="I188" s="3" t="n"/>
      <c r="L188">
        <f>IF(AND(F188&lt;&gt;"已完成",I188&lt;&gt;"",TODAY()&gt;I188),"逾期","正常")</f>
        <v/>
      </c>
    </row>
    <row r="189">
      <c r="G189" s="2" t="n"/>
      <c r="H189" s="3" t="n"/>
      <c r="I189" s="3" t="n"/>
      <c r="L189">
        <f>IF(AND(F189&lt;&gt;"已完成",I189&lt;&gt;"",TODAY()&gt;I189),"逾期","正常")</f>
        <v/>
      </c>
    </row>
    <row r="190">
      <c r="G190" s="2" t="n"/>
      <c r="H190" s="3" t="n"/>
      <c r="I190" s="3" t="n"/>
      <c r="L190">
        <f>IF(AND(F190&lt;&gt;"已完成",I190&lt;&gt;"",TODAY()&gt;I190),"逾期","正常")</f>
        <v/>
      </c>
    </row>
    <row r="191">
      <c r="G191" s="2" t="n"/>
      <c r="H191" s="3" t="n"/>
      <c r="I191" s="3" t="n"/>
      <c r="L191">
        <f>IF(AND(F191&lt;&gt;"已完成",I191&lt;&gt;"",TODAY()&gt;I191),"逾期","正常")</f>
        <v/>
      </c>
    </row>
    <row r="192">
      <c r="G192" s="2" t="n"/>
      <c r="H192" s="3" t="n"/>
      <c r="I192" s="3" t="n"/>
      <c r="L192">
        <f>IF(AND(F192&lt;&gt;"已完成",I192&lt;&gt;"",TODAY()&gt;I192),"逾期","正常")</f>
        <v/>
      </c>
    </row>
    <row r="193">
      <c r="G193" s="2" t="n"/>
      <c r="H193" s="3" t="n"/>
      <c r="I193" s="3" t="n"/>
      <c r="L193">
        <f>IF(AND(F193&lt;&gt;"已完成",I193&lt;&gt;"",TODAY()&gt;I193),"逾期","正常")</f>
        <v/>
      </c>
    </row>
    <row r="194">
      <c r="G194" s="2" t="n"/>
      <c r="H194" s="3" t="n"/>
      <c r="I194" s="3" t="n"/>
      <c r="L194">
        <f>IF(AND(F194&lt;&gt;"已完成",I194&lt;&gt;"",TODAY()&gt;I194),"逾期","正常")</f>
        <v/>
      </c>
    </row>
    <row r="195">
      <c r="G195" s="2" t="n"/>
      <c r="H195" s="3" t="n"/>
      <c r="I195" s="3" t="n"/>
      <c r="L195">
        <f>IF(AND(F195&lt;&gt;"已完成",I195&lt;&gt;"",TODAY()&gt;I195),"逾期","正常")</f>
        <v/>
      </c>
    </row>
    <row r="196">
      <c r="G196" s="2" t="n"/>
      <c r="H196" s="3" t="n"/>
      <c r="I196" s="3" t="n"/>
      <c r="L196">
        <f>IF(AND(F196&lt;&gt;"已完成",I196&lt;&gt;"",TODAY()&gt;I196),"逾期","正常")</f>
        <v/>
      </c>
    </row>
    <row r="197">
      <c r="G197" s="2" t="n"/>
      <c r="H197" s="3" t="n"/>
      <c r="I197" s="3" t="n"/>
      <c r="L197">
        <f>IF(AND(F197&lt;&gt;"已完成",I197&lt;&gt;"",TODAY()&gt;I197),"逾期","正常")</f>
        <v/>
      </c>
    </row>
    <row r="198">
      <c r="G198" s="2" t="n"/>
      <c r="H198" s="3" t="n"/>
      <c r="I198" s="3" t="n"/>
      <c r="L198">
        <f>IF(AND(F198&lt;&gt;"已完成",I198&lt;&gt;"",TODAY()&gt;I198),"逾期","正常")</f>
        <v/>
      </c>
    </row>
    <row r="199">
      <c r="G199" s="2" t="n"/>
      <c r="H199" s="3" t="n"/>
      <c r="I199" s="3" t="n"/>
      <c r="L199">
        <f>IF(AND(F199&lt;&gt;"已完成",I199&lt;&gt;"",TODAY()&gt;I199),"逾期","正常")</f>
        <v/>
      </c>
    </row>
    <row r="200">
      <c r="G200" s="2" t="n"/>
      <c r="H200" s="3" t="n"/>
      <c r="I200" s="3" t="n"/>
      <c r="L200">
        <f>IF(AND(F200&lt;&gt;"已完成",I200&lt;&gt;"",TODAY()&gt;I200),"逾期","正常")</f>
        <v/>
      </c>
    </row>
    <row r="201">
      <c r="G201" s="2" t="n"/>
      <c r="H201" s="3" t="n"/>
      <c r="I201" s="3" t="n"/>
      <c r="L201">
        <f>IF(AND(F201&lt;&gt;"已完成",I201&lt;&gt;"",TODAY()&gt;I201),"逾期","正常")</f>
        <v/>
      </c>
    </row>
    <row r="202">
      <c r="G202" s="2" t="n"/>
      <c r="H202" s="3" t="n"/>
      <c r="I202" s="3" t="n"/>
      <c r="L202">
        <f>IF(AND(F202&lt;&gt;"已完成",I202&lt;&gt;"",TODAY()&gt;I202),"逾期","正常")</f>
        <v/>
      </c>
    </row>
    <row r="203">
      <c r="G203" s="2" t="n"/>
      <c r="H203" s="3" t="n"/>
      <c r="I203" s="3" t="n"/>
      <c r="L203">
        <f>IF(AND(F203&lt;&gt;"已完成",I203&lt;&gt;"",TODAY()&gt;I203),"逾期","正常")</f>
        <v/>
      </c>
    </row>
    <row r="204">
      <c r="G204" s="2" t="n"/>
      <c r="H204" s="3" t="n"/>
      <c r="I204" s="3" t="n"/>
      <c r="L204">
        <f>IF(AND(F204&lt;&gt;"已完成",I204&lt;&gt;"",TODAY()&gt;I204),"逾期","正常")</f>
        <v/>
      </c>
    </row>
    <row r="205">
      <c r="G205" s="2" t="n"/>
      <c r="H205" s="3" t="n"/>
      <c r="I205" s="3" t="n"/>
      <c r="L205">
        <f>IF(AND(F205&lt;&gt;"已完成",I205&lt;&gt;"",TODAY()&gt;I205),"逾期","正常")</f>
        <v/>
      </c>
    </row>
    <row r="206">
      <c r="G206" s="2" t="n"/>
      <c r="H206" s="3" t="n"/>
      <c r="I206" s="3" t="n"/>
      <c r="L206">
        <f>IF(AND(F206&lt;&gt;"已完成",I206&lt;&gt;"",TODAY()&gt;I206),"逾期","正常")</f>
        <v/>
      </c>
    </row>
    <row r="207">
      <c r="G207" s="2" t="n"/>
      <c r="H207" s="3" t="n"/>
      <c r="I207" s="3" t="n"/>
      <c r="L207">
        <f>IF(AND(F207&lt;&gt;"已完成",I207&lt;&gt;"",TODAY()&gt;I207),"逾期","正常")</f>
        <v/>
      </c>
    </row>
    <row r="208">
      <c r="G208" s="2" t="n"/>
      <c r="H208" s="3" t="n"/>
      <c r="I208" s="3" t="n"/>
      <c r="L208">
        <f>IF(AND(F208&lt;&gt;"已完成",I208&lt;&gt;"",TODAY()&gt;I208),"逾期","正常")</f>
        <v/>
      </c>
    </row>
    <row r="209">
      <c r="G209" s="2" t="n"/>
      <c r="H209" s="3" t="n"/>
      <c r="I209" s="3" t="n"/>
      <c r="L209">
        <f>IF(AND(F209&lt;&gt;"已完成",I209&lt;&gt;"",TODAY()&gt;I209),"逾期","正常")</f>
        <v/>
      </c>
    </row>
    <row r="210">
      <c r="G210" s="2" t="n"/>
      <c r="H210" s="3" t="n"/>
      <c r="I210" s="3" t="n"/>
      <c r="L210">
        <f>IF(AND(F210&lt;&gt;"已完成",I210&lt;&gt;"",TODAY()&gt;I210),"逾期","正常")</f>
        <v/>
      </c>
    </row>
    <row r="211">
      <c r="G211" s="2" t="n"/>
      <c r="H211" s="3" t="n"/>
      <c r="I211" s="3" t="n"/>
      <c r="L211">
        <f>IF(AND(F211&lt;&gt;"已完成",I211&lt;&gt;"",TODAY()&gt;I211),"逾期","正常")</f>
        <v/>
      </c>
    </row>
    <row r="212">
      <c r="G212" s="2" t="n"/>
      <c r="H212" s="3" t="n"/>
      <c r="I212" s="3" t="n"/>
      <c r="L212">
        <f>IF(AND(F212&lt;&gt;"已完成",I212&lt;&gt;"",TODAY()&gt;I212),"逾期","正常")</f>
        <v/>
      </c>
    </row>
    <row r="213">
      <c r="G213" s="2" t="n"/>
      <c r="H213" s="3" t="n"/>
      <c r="I213" s="3" t="n"/>
      <c r="L213">
        <f>IF(AND(F213&lt;&gt;"已完成",I213&lt;&gt;"",TODAY()&gt;I213),"逾期","正常")</f>
        <v/>
      </c>
    </row>
    <row r="214">
      <c r="G214" s="2" t="n"/>
      <c r="H214" s="3" t="n"/>
      <c r="I214" s="3" t="n"/>
      <c r="L214">
        <f>IF(AND(F214&lt;&gt;"已完成",I214&lt;&gt;"",TODAY()&gt;I214),"逾期","正常")</f>
        <v/>
      </c>
    </row>
    <row r="215">
      <c r="G215" s="2" t="n"/>
      <c r="H215" s="3" t="n"/>
      <c r="I215" s="3" t="n"/>
      <c r="L215">
        <f>IF(AND(F215&lt;&gt;"已完成",I215&lt;&gt;"",TODAY()&gt;I215),"逾期","正常")</f>
        <v/>
      </c>
    </row>
    <row r="216">
      <c r="G216" s="2" t="n"/>
      <c r="H216" s="3" t="n"/>
      <c r="I216" s="3" t="n"/>
      <c r="L216">
        <f>IF(AND(F216&lt;&gt;"已完成",I216&lt;&gt;"",TODAY()&gt;I216),"逾期","正常")</f>
        <v/>
      </c>
    </row>
    <row r="217">
      <c r="G217" s="2" t="n"/>
      <c r="H217" s="3" t="n"/>
      <c r="I217" s="3" t="n"/>
      <c r="L217">
        <f>IF(AND(F217&lt;&gt;"已完成",I217&lt;&gt;"",TODAY()&gt;I217),"逾期","正常")</f>
        <v/>
      </c>
    </row>
    <row r="218">
      <c r="G218" s="2" t="n"/>
      <c r="H218" s="3" t="n"/>
      <c r="I218" s="3" t="n"/>
      <c r="L218">
        <f>IF(AND(F218&lt;&gt;"已完成",I218&lt;&gt;"",TODAY()&gt;I218),"逾期","正常")</f>
        <v/>
      </c>
    </row>
    <row r="219">
      <c r="G219" s="2" t="n"/>
      <c r="H219" s="3" t="n"/>
      <c r="I219" s="3" t="n"/>
      <c r="L219">
        <f>IF(AND(F219&lt;&gt;"已完成",I219&lt;&gt;"",TODAY()&gt;I219),"逾期","正常")</f>
        <v/>
      </c>
    </row>
    <row r="220">
      <c r="G220" s="2" t="n"/>
      <c r="H220" s="3" t="n"/>
      <c r="I220" s="3" t="n"/>
      <c r="L220">
        <f>IF(AND(F220&lt;&gt;"已完成",I220&lt;&gt;"",TODAY()&gt;I220),"逾期","正常")</f>
        <v/>
      </c>
    </row>
    <row r="221">
      <c r="G221" s="2" t="n"/>
      <c r="H221" s="3" t="n"/>
      <c r="I221" s="3" t="n"/>
      <c r="L221">
        <f>IF(AND(F221&lt;&gt;"已完成",I221&lt;&gt;"",TODAY()&gt;I221),"逾期","正常")</f>
        <v/>
      </c>
    </row>
    <row r="222">
      <c r="G222" s="2" t="n"/>
      <c r="H222" s="3" t="n"/>
      <c r="I222" s="3" t="n"/>
      <c r="L222">
        <f>IF(AND(F222&lt;&gt;"已完成",I222&lt;&gt;"",TODAY()&gt;I222),"逾期","正常")</f>
        <v/>
      </c>
    </row>
    <row r="223">
      <c r="G223" s="2" t="n"/>
      <c r="H223" s="3" t="n"/>
      <c r="I223" s="3" t="n"/>
      <c r="L223">
        <f>IF(AND(F223&lt;&gt;"已完成",I223&lt;&gt;"",TODAY()&gt;I223),"逾期","正常")</f>
        <v/>
      </c>
    </row>
    <row r="224">
      <c r="G224" s="2" t="n"/>
      <c r="H224" s="3" t="n"/>
      <c r="I224" s="3" t="n"/>
      <c r="L224">
        <f>IF(AND(F224&lt;&gt;"已完成",I224&lt;&gt;"",TODAY()&gt;I224),"逾期","正常")</f>
        <v/>
      </c>
    </row>
    <row r="225">
      <c r="G225" s="2" t="n"/>
      <c r="H225" s="3" t="n"/>
      <c r="I225" s="3" t="n"/>
      <c r="L225">
        <f>IF(AND(F225&lt;&gt;"已完成",I225&lt;&gt;"",TODAY()&gt;I225),"逾期","正常")</f>
        <v/>
      </c>
    </row>
    <row r="226">
      <c r="G226" s="2" t="n"/>
      <c r="H226" s="3" t="n"/>
      <c r="I226" s="3" t="n"/>
      <c r="L226">
        <f>IF(AND(F226&lt;&gt;"已完成",I226&lt;&gt;"",TODAY()&gt;I226),"逾期","正常")</f>
        <v/>
      </c>
    </row>
    <row r="227">
      <c r="G227" s="2" t="n"/>
      <c r="H227" s="3" t="n"/>
      <c r="I227" s="3" t="n"/>
      <c r="L227">
        <f>IF(AND(F227&lt;&gt;"已完成",I227&lt;&gt;"",TODAY()&gt;I227),"逾期","正常")</f>
        <v/>
      </c>
    </row>
    <row r="228">
      <c r="G228" s="2" t="n"/>
      <c r="H228" s="3" t="n"/>
      <c r="I228" s="3" t="n"/>
      <c r="L228">
        <f>IF(AND(F228&lt;&gt;"已完成",I228&lt;&gt;"",TODAY()&gt;I228),"逾期","正常")</f>
        <v/>
      </c>
    </row>
    <row r="229">
      <c r="G229" s="2" t="n"/>
      <c r="H229" s="3" t="n"/>
      <c r="I229" s="3" t="n"/>
      <c r="L229">
        <f>IF(AND(F229&lt;&gt;"已完成",I229&lt;&gt;"",TODAY()&gt;I229),"逾期","正常")</f>
        <v/>
      </c>
    </row>
    <row r="230">
      <c r="G230" s="2" t="n"/>
      <c r="H230" s="3" t="n"/>
      <c r="I230" s="3" t="n"/>
      <c r="L230">
        <f>IF(AND(F230&lt;&gt;"已完成",I230&lt;&gt;"",TODAY()&gt;I230),"逾期","正常")</f>
        <v/>
      </c>
    </row>
    <row r="231">
      <c r="G231" s="2" t="n"/>
      <c r="H231" s="3" t="n"/>
      <c r="I231" s="3" t="n"/>
      <c r="L231">
        <f>IF(AND(F231&lt;&gt;"已完成",I231&lt;&gt;"",TODAY()&gt;I231),"逾期","正常")</f>
        <v/>
      </c>
    </row>
    <row r="232">
      <c r="G232" s="2" t="n"/>
      <c r="H232" s="3" t="n"/>
      <c r="I232" s="3" t="n"/>
      <c r="L232">
        <f>IF(AND(F232&lt;&gt;"已完成",I232&lt;&gt;"",TODAY()&gt;I232),"逾期","正常")</f>
        <v/>
      </c>
    </row>
    <row r="233">
      <c r="G233" s="2" t="n"/>
      <c r="H233" s="3" t="n"/>
      <c r="I233" s="3" t="n"/>
      <c r="L233">
        <f>IF(AND(F233&lt;&gt;"已完成",I233&lt;&gt;"",TODAY()&gt;I233),"逾期","正常")</f>
        <v/>
      </c>
    </row>
    <row r="234">
      <c r="G234" s="2" t="n"/>
      <c r="H234" s="3" t="n"/>
      <c r="I234" s="3" t="n"/>
      <c r="L234">
        <f>IF(AND(F234&lt;&gt;"已完成",I234&lt;&gt;"",TODAY()&gt;I234),"逾期","正常")</f>
        <v/>
      </c>
    </row>
    <row r="235">
      <c r="G235" s="2" t="n"/>
      <c r="H235" s="3" t="n"/>
      <c r="I235" s="3" t="n"/>
      <c r="L235">
        <f>IF(AND(F235&lt;&gt;"已完成",I235&lt;&gt;"",TODAY()&gt;I235),"逾期","正常")</f>
        <v/>
      </c>
    </row>
    <row r="236">
      <c r="G236" s="2" t="n"/>
      <c r="H236" s="3" t="n"/>
      <c r="I236" s="3" t="n"/>
      <c r="L236">
        <f>IF(AND(F236&lt;&gt;"已完成",I236&lt;&gt;"",TODAY()&gt;I236),"逾期","正常")</f>
        <v/>
      </c>
    </row>
    <row r="237">
      <c r="G237" s="2" t="n"/>
      <c r="H237" s="3" t="n"/>
      <c r="I237" s="3" t="n"/>
      <c r="L237">
        <f>IF(AND(F237&lt;&gt;"已完成",I237&lt;&gt;"",TODAY()&gt;I237),"逾期","正常")</f>
        <v/>
      </c>
    </row>
    <row r="238">
      <c r="G238" s="2" t="n"/>
      <c r="H238" s="3" t="n"/>
      <c r="I238" s="3" t="n"/>
      <c r="L238">
        <f>IF(AND(F238&lt;&gt;"已完成",I238&lt;&gt;"",TODAY()&gt;I238),"逾期","正常")</f>
        <v/>
      </c>
    </row>
    <row r="239">
      <c r="G239" s="2" t="n"/>
      <c r="H239" s="3" t="n"/>
      <c r="I239" s="3" t="n"/>
      <c r="L239">
        <f>IF(AND(F239&lt;&gt;"已完成",I239&lt;&gt;"",TODAY()&gt;I239),"逾期","正常")</f>
        <v/>
      </c>
    </row>
    <row r="240">
      <c r="G240" s="2" t="n"/>
      <c r="H240" s="3" t="n"/>
      <c r="I240" s="3" t="n"/>
      <c r="L240">
        <f>IF(AND(F240&lt;&gt;"已完成",I240&lt;&gt;"",TODAY()&gt;I240),"逾期","正常")</f>
        <v/>
      </c>
    </row>
    <row r="241">
      <c r="G241" s="2" t="n"/>
      <c r="H241" s="3" t="n"/>
      <c r="I241" s="3" t="n"/>
      <c r="L241">
        <f>IF(AND(F241&lt;&gt;"已完成",I241&lt;&gt;"",TODAY()&gt;I241),"逾期","正常")</f>
        <v/>
      </c>
    </row>
    <row r="242">
      <c r="G242" s="2" t="n"/>
      <c r="H242" s="3" t="n"/>
      <c r="I242" s="3" t="n"/>
      <c r="L242">
        <f>IF(AND(F242&lt;&gt;"已完成",I242&lt;&gt;"",TODAY()&gt;I242),"逾期","正常")</f>
        <v/>
      </c>
    </row>
    <row r="243">
      <c r="G243" s="2" t="n"/>
      <c r="H243" s="3" t="n"/>
      <c r="I243" s="3" t="n"/>
      <c r="L243">
        <f>IF(AND(F243&lt;&gt;"已完成",I243&lt;&gt;"",TODAY()&gt;I243),"逾期","正常")</f>
        <v/>
      </c>
    </row>
    <row r="244">
      <c r="G244" s="2" t="n"/>
      <c r="H244" s="3" t="n"/>
      <c r="I244" s="3" t="n"/>
      <c r="L244">
        <f>IF(AND(F244&lt;&gt;"已完成",I244&lt;&gt;"",TODAY()&gt;I244),"逾期","正常")</f>
        <v/>
      </c>
    </row>
    <row r="245">
      <c r="G245" s="2" t="n"/>
      <c r="H245" s="3" t="n"/>
      <c r="I245" s="3" t="n"/>
      <c r="L245">
        <f>IF(AND(F245&lt;&gt;"已完成",I245&lt;&gt;"",TODAY()&gt;I245),"逾期","正常")</f>
        <v/>
      </c>
    </row>
    <row r="246">
      <c r="G246" s="2" t="n"/>
      <c r="H246" s="3" t="n"/>
      <c r="I246" s="3" t="n"/>
      <c r="L246">
        <f>IF(AND(F246&lt;&gt;"已完成",I246&lt;&gt;"",TODAY()&gt;I246),"逾期","正常")</f>
        <v/>
      </c>
    </row>
    <row r="247">
      <c r="G247" s="2" t="n"/>
      <c r="H247" s="3" t="n"/>
      <c r="I247" s="3" t="n"/>
      <c r="L247">
        <f>IF(AND(F247&lt;&gt;"已完成",I247&lt;&gt;"",TODAY()&gt;I247),"逾期","正常")</f>
        <v/>
      </c>
    </row>
    <row r="248">
      <c r="G248" s="2" t="n"/>
      <c r="H248" s="3" t="n"/>
      <c r="I248" s="3" t="n"/>
      <c r="L248">
        <f>IF(AND(F248&lt;&gt;"已完成",I248&lt;&gt;"",TODAY()&gt;I248),"逾期","正常")</f>
        <v/>
      </c>
    </row>
    <row r="249">
      <c r="G249" s="2" t="n"/>
      <c r="H249" s="3" t="n"/>
      <c r="I249" s="3" t="n"/>
      <c r="L249">
        <f>IF(AND(F249&lt;&gt;"已完成",I249&lt;&gt;"",TODAY()&gt;I249),"逾期","正常")</f>
        <v/>
      </c>
    </row>
    <row r="250">
      <c r="G250" s="2" t="n"/>
      <c r="H250" s="3" t="n"/>
      <c r="I250" s="3" t="n"/>
      <c r="L250">
        <f>IF(AND(F250&lt;&gt;"已完成",I250&lt;&gt;"",TODAY()&gt;I250),"逾期","正常")</f>
        <v/>
      </c>
    </row>
    <row r="251">
      <c r="G251" s="2" t="n"/>
      <c r="H251" s="3" t="n"/>
      <c r="I251" s="3" t="n"/>
      <c r="L251">
        <f>IF(AND(F251&lt;&gt;"已完成",I251&lt;&gt;"",TODAY()&gt;I251),"逾期","正常")</f>
        <v/>
      </c>
    </row>
    <row r="252">
      <c r="G252" s="2" t="n"/>
      <c r="H252" s="3" t="n"/>
      <c r="I252" s="3" t="n"/>
      <c r="L252">
        <f>IF(AND(F252&lt;&gt;"已完成",I252&lt;&gt;"",TODAY()&gt;I252),"逾期","正常")</f>
        <v/>
      </c>
    </row>
    <row r="253">
      <c r="G253" s="2" t="n"/>
      <c r="H253" s="3" t="n"/>
      <c r="I253" s="3" t="n"/>
      <c r="L253">
        <f>IF(AND(F253&lt;&gt;"已完成",I253&lt;&gt;"",TODAY()&gt;I253),"逾期","正常")</f>
        <v/>
      </c>
    </row>
    <row r="254">
      <c r="G254" s="2" t="n"/>
      <c r="H254" s="3" t="n"/>
      <c r="I254" s="3" t="n"/>
      <c r="L254">
        <f>IF(AND(F254&lt;&gt;"已完成",I254&lt;&gt;"",TODAY()&gt;I254),"逾期","正常")</f>
        <v/>
      </c>
    </row>
    <row r="255">
      <c r="G255" s="2" t="n"/>
      <c r="H255" s="3" t="n"/>
      <c r="I255" s="3" t="n"/>
      <c r="L255">
        <f>IF(AND(F255&lt;&gt;"已完成",I255&lt;&gt;"",TODAY()&gt;I255),"逾期","正常")</f>
        <v/>
      </c>
    </row>
    <row r="256">
      <c r="G256" s="2" t="n"/>
      <c r="H256" s="3" t="n"/>
      <c r="I256" s="3" t="n"/>
      <c r="L256">
        <f>IF(AND(F256&lt;&gt;"已完成",I256&lt;&gt;"",TODAY()&gt;I256),"逾期","正常")</f>
        <v/>
      </c>
    </row>
    <row r="257">
      <c r="G257" s="2" t="n"/>
      <c r="H257" s="3" t="n"/>
      <c r="I257" s="3" t="n"/>
      <c r="L257">
        <f>IF(AND(F257&lt;&gt;"已完成",I257&lt;&gt;"",TODAY()&gt;I257),"逾期","正常")</f>
        <v/>
      </c>
    </row>
    <row r="258">
      <c r="G258" s="2" t="n"/>
      <c r="H258" s="3" t="n"/>
      <c r="I258" s="3" t="n"/>
      <c r="L258">
        <f>IF(AND(F258&lt;&gt;"已完成",I258&lt;&gt;"",TODAY()&gt;I258),"逾期","正常")</f>
        <v/>
      </c>
    </row>
    <row r="259">
      <c r="G259" s="2" t="n"/>
      <c r="H259" s="3" t="n"/>
      <c r="I259" s="3" t="n"/>
      <c r="L259">
        <f>IF(AND(F259&lt;&gt;"已完成",I259&lt;&gt;"",TODAY()&gt;I259),"逾期","正常")</f>
        <v/>
      </c>
    </row>
    <row r="260">
      <c r="G260" s="2" t="n"/>
      <c r="H260" s="3" t="n"/>
      <c r="I260" s="3" t="n"/>
      <c r="L260">
        <f>IF(AND(F260&lt;&gt;"已完成",I260&lt;&gt;"",TODAY()&gt;I260),"逾期","正常")</f>
        <v/>
      </c>
    </row>
    <row r="261">
      <c r="G261" s="2" t="n"/>
      <c r="H261" s="3" t="n"/>
      <c r="I261" s="3" t="n"/>
      <c r="L261">
        <f>IF(AND(F261&lt;&gt;"已完成",I261&lt;&gt;"",TODAY()&gt;I261),"逾期","正常")</f>
        <v/>
      </c>
    </row>
    <row r="262">
      <c r="G262" s="2" t="n"/>
      <c r="H262" s="3" t="n"/>
      <c r="I262" s="3" t="n"/>
      <c r="L262">
        <f>IF(AND(F262&lt;&gt;"已完成",I262&lt;&gt;"",TODAY()&gt;I262),"逾期","正常")</f>
        <v/>
      </c>
    </row>
    <row r="263">
      <c r="G263" s="2" t="n"/>
      <c r="H263" s="3" t="n"/>
      <c r="I263" s="3" t="n"/>
      <c r="L263">
        <f>IF(AND(F263&lt;&gt;"已完成",I263&lt;&gt;"",TODAY()&gt;I263),"逾期","正常")</f>
        <v/>
      </c>
    </row>
    <row r="264">
      <c r="G264" s="2" t="n"/>
      <c r="H264" s="3" t="n"/>
      <c r="I264" s="3" t="n"/>
      <c r="L264">
        <f>IF(AND(F264&lt;&gt;"已完成",I264&lt;&gt;"",TODAY()&gt;I264),"逾期","正常")</f>
        <v/>
      </c>
    </row>
    <row r="265">
      <c r="G265" s="2" t="n"/>
      <c r="H265" s="3" t="n"/>
      <c r="I265" s="3" t="n"/>
      <c r="L265">
        <f>IF(AND(F265&lt;&gt;"已完成",I265&lt;&gt;"",TODAY()&gt;I265),"逾期","正常")</f>
        <v/>
      </c>
    </row>
    <row r="266">
      <c r="G266" s="2" t="n"/>
      <c r="H266" s="3" t="n"/>
      <c r="I266" s="3" t="n"/>
      <c r="L266">
        <f>IF(AND(F266&lt;&gt;"已完成",I266&lt;&gt;"",TODAY()&gt;I266),"逾期","正常")</f>
        <v/>
      </c>
    </row>
    <row r="267">
      <c r="G267" s="2" t="n"/>
      <c r="H267" s="3" t="n"/>
      <c r="I267" s="3" t="n"/>
      <c r="L267">
        <f>IF(AND(F267&lt;&gt;"已完成",I267&lt;&gt;"",TODAY()&gt;I267),"逾期","正常")</f>
        <v/>
      </c>
    </row>
    <row r="268">
      <c r="G268" s="2" t="n"/>
      <c r="H268" s="3" t="n"/>
      <c r="I268" s="3" t="n"/>
      <c r="L268">
        <f>IF(AND(F268&lt;&gt;"已完成",I268&lt;&gt;"",TODAY()&gt;I268),"逾期","正常")</f>
        <v/>
      </c>
    </row>
    <row r="269">
      <c r="G269" s="2" t="n"/>
      <c r="H269" s="3" t="n"/>
      <c r="I269" s="3" t="n"/>
      <c r="L269">
        <f>IF(AND(F269&lt;&gt;"已完成",I269&lt;&gt;"",TODAY()&gt;I269),"逾期","正常")</f>
        <v/>
      </c>
    </row>
    <row r="270">
      <c r="G270" s="2" t="n"/>
      <c r="H270" s="3" t="n"/>
      <c r="I270" s="3" t="n"/>
      <c r="L270">
        <f>IF(AND(F270&lt;&gt;"已完成",I270&lt;&gt;"",TODAY()&gt;I270),"逾期","正常")</f>
        <v/>
      </c>
    </row>
    <row r="271">
      <c r="G271" s="2" t="n"/>
      <c r="H271" s="3" t="n"/>
      <c r="I271" s="3" t="n"/>
      <c r="L271">
        <f>IF(AND(F271&lt;&gt;"已完成",I271&lt;&gt;"",TODAY()&gt;I271),"逾期","正常")</f>
        <v/>
      </c>
    </row>
    <row r="272">
      <c r="G272" s="2" t="n"/>
      <c r="H272" s="3" t="n"/>
      <c r="I272" s="3" t="n"/>
      <c r="L272">
        <f>IF(AND(F272&lt;&gt;"已完成",I272&lt;&gt;"",TODAY()&gt;I272),"逾期","正常")</f>
        <v/>
      </c>
    </row>
    <row r="273">
      <c r="G273" s="2" t="n"/>
      <c r="H273" s="3" t="n"/>
      <c r="I273" s="3" t="n"/>
      <c r="L273">
        <f>IF(AND(F273&lt;&gt;"已完成",I273&lt;&gt;"",TODAY()&gt;I273),"逾期","正常")</f>
        <v/>
      </c>
    </row>
    <row r="274">
      <c r="G274" s="2" t="n"/>
      <c r="H274" s="3" t="n"/>
      <c r="I274" s="3" t="n"/>
      <c r="L274">
        <f>IF(AND(F274&lt;&gt;"已完成",I274&lt;&gt;"",TODAY()&gt;I274),"逾期","正常")</f>
        <v/>
      </c>
    </row>
    <row r="275">
      <c r="G275" s="2" t="n"/>
      <c r="H275" s="3" t="n"/>
      <c r="I275" s="3" t="n"/>
      <c r="L275">
        <f>IF(AND(F275&lt;&gt;"已完成",I275&lt;&gt;"",TODAY()&gt;I275),"逾期","正常")</f>
        <v/>
      </c>
    </row>
    <row r="276">
      <c r="G276" s="2" t="n"/>
      <c r="H276" s="3" t="n"/>
      <c r="I276" s="3" t="n"/>
      <c r="L276">
        <f>IF(AND(F276&lt;&gt;"已完成",I276&lt;&gt;"",TODAY()&gt;I276),"逾期","正常")</f>
        <v/>
      </c>
    </row>
    <row r="277">
      <c r="G277" s="2" t="n"/>
      <c r="H277" s="3" t="n"/>
      <c r="I277" s="3" t="n"/>
      <c r="L277">
        <f>IF(AND(F277&lt;&gt;"已完成",I277&lt;&gt;"",TODAY()&gt;I277),"逾期","正常")</f>
        <v/>
      </c>
    </row>
    <row r="278">
      <c r="G278" s="2" t="n"/>
      <c r="H278" s="3" t="n"/>
      <c r="I278" s="3" t="n"/>
      <c r="L278">
        <f>IF(AND(F278&lt;&gt;"已完成",I278&lt;&gt;"",TODAY()&gt;I278),"逾期","正常")</f>
        <v/>
      </c>
    </row>
    <row r="279">
      <c r="G279" s="2" t="n"/>
      <c r="H279" s="3" t="n"/>
      <c r="I279" s="3" t="n"/>
      <c r="L279">
        <f>IF(AND(F279&lt;&gt;"已完成",I279&lt;&gt;"",TODAY()&gt;I279),"逾期","正常")</f>
        <v/>
      </c>
    </row>
    <row r="280">
      <c r="G280" s="2" t="n"/>
      <c r="H280" s="3" t="n"/>
      <c r="I280" s="3" t="n"/>
      <c r="L280">
        <f>IF(AND(F280&lt;&gt;"已完成",I280&lt;&gt;"",TODAY()&gt;I280),"逾期","正常")</f>
        <v/>
      </c>
    </row>
    <row r="281">
      <c r="G281" s="2" t="n"/>
      <c r="H281" s="3" t="n"/>
      <c r="I281" s="3" t="n"/>
      <c r="L281">
        <f>IF(AND(F281&lt;&gt;"已完成",I281&lt;&gt;"",TODAY()&gt;I281),"逾期","正常")</f>
        <v/>
      </c>
    </row>
    <row r="282">
      <c r="G282" s="2" t="n"/>
      <c r="H282" s="3" t="n"/>
      <c r="I282" s="3" t="n"/>
      <c r="L282">
        <f>IF(AND(F282&lt;&gt;"已完成",I282&lt;&gt;"",TODAY()&gt;I282),"逾期","正常")</f>
        <v/>
      </c>
    </row>
    <row r="283">
      <c r="G283" s="2" t="n"/>
      <c r="H283" s="3" t="n"/>
      <c r="I283" s="3" t="n"/>
      <c r="L283">
        <f>IF(AND(F283&lt;&gt;"已完成",I283&lt;&gt;"",TODAY()&gt;I283),"逾期","正常")</f>
        <v/>
      </c>
    </row>
    <row r="284">
      <c r="G284" s="2" t="n"/>
      <c r="H284" s="3" t="n"/>
      <c r="I284" s="3" t="n"/>
      <c r="L284">
        <f>IF(AND(F284&lt;&gt;"已完成",I284&lt;&gt;"",TODAY()&gt;I284),"逾期","正常")</f>
        <v/>
      </c>
    </row>
    <row r="285">
      <c r="G285" s="2" t="n"/>
      <c r="H285" s="3" t="n"/>
      <c r="I285" s="3" t="n"/>
      <c r="L285">
        <f>IF(AND(F285&lt;&gt;"已完成",I285&lt;&gt;"",TODAY()&gt;I285),"逾期","正常")</f>
        <v/>
      </c>
    </row>
    <row r="286">
      <c r="G286" s="2" t="n"/>
      <c r="H286" s="3" t="n"/>
      <c r="I286" s="3" t="n"/>
      <c r="L286">
        <f>IF(AND(F286&lt;&gt;"已完成",I286&lt;&gt;"",TODAY()&gt;I286),"逾期","正常")</f>
        <v/>
      </c>
    </row>
    <row r="287">
      <c r="G287" s="2" t="n"/>
      <c r="H287" s="3" t="n"/>
      <c r="I287" s="3" t="n"/>
      <c r="L287">
        <f>IF(AND(F287&lt;&gt;"已完成",I287&lt;&gt;"",TODAY()&gt;I287),"逾期","正常")</f>
        <v/>
      </c>
    </row>
    <row r="288">
      <c r="G288" s="2" t="n"/>
      <c r="H288" s="3" t="n"/>
      <c r="I288" s="3" t="n"/>
      <c r="L288">
        <f>IF(AND(F288&lt;&gt;"已完成",I288&lt;&gt;"",TODAY()&gt;I288),"逾期","正常")</f>
        <v/>
      </c>
    </row>
    <row r="289">
      <c r="G289" s="2" t="n"/>
      <c r="H289" s="3" t="n"/>
      <c r="I289" s="3" t="n"/>
      <c r="L289">
        <f>IF(AND(F289&lt;&gt;"已完成",I289&lt;&gt;"",TODAY()&gt;I289),"逾期","正常")</f>
        <v/>
      </c>
    </row>
    <row r="290">
      <c r="G290" s="2" t="n"/>
      <c r="H290" s="3" t="n"/>
      <c r="I290" s="3" t="n"/>
      <c r="L290">
        <f>IF(AND(F290&lt;&gt;"已完成",I290&lt;&gt;"",TODAY()&gt;I290),"逾期","正常")</f>
        <v/>
      </c>
    </row>
    <row r="291">
      <c r="G291" s="2" t="n"/>
      <c r="H291" s="3" t="n"/>
      <c r="I291" s="3" t="n"/>
      <c r="L291">
        <f>IF(AND(F291&lt;&gt;"已完成",I291&lt;&gt;"",TODAY()&gt;I291),"逾期","正常")</f>
        <v/>
      </c>
    </row>
    <row r="292">
      <c r="G292" s="2" t="n"/>
      <c r="H292" s="3" t="n"/>
      <c r="I292" s="3" t="n"/>
      <c r="L292">
        <f>IF(AND(F292&lt;&gt;"已完成",I292&lt;&gt;"",TODAY()&gt;I292),"逾期","正常")</f>
        <v/>
      </c>
    </row>
    <row r="293">
      <c r="G293" s="2" t="n"/>
      <c r="H293" s="3" t="n"/>
      <c r="I293" s="3" t="n"/>
      <c r="L293">
        <f>IF(AND(F293&lt;&gt;"已完成",I293&lt;&gt;"",TODAY()&gt;I293),"逾期","正常")</f>
        <v/>
      </c>
    </row>
    <row r="294">
      <c r="G294" s="2" t="n"/>
      <c r="H294" s="3" t="n"/>
      <c r="I294" s="3" t="n"/>
      <c r="L294">
        <f>IF(AND(F294&lt;&gt;"已完成",I294&lt;&gt;"",TODAY()&gt;I294),"逾期","正常")</f>
        <v/>
      </c>
    </row>
    <row r="295">
      <c r="G295" s="2" t="n"/>
      <c r="H295" s="3" t="n"/>
      <c r="I295" s="3" t="n"/>
      <c r="L295">
        <f>IF(AND(F295&lt;&gt;"已完成",I295&lt;&gt;"",TODAY()&gt;I295),"逾期","正常")</f>
        <v/>
      </c>
    </row>
    <row r="296">
      <c r="G296" s="2" t="n"/>
      <c r="H296" s="3" t="n"/>
      <c r="I296" s="3" t="n"/>
      <c r="L296">
        <f>IF(AND(F296&lt;&gt;"已完成",I296&lt;&gt;"",TODAY()&gt;I296),"逾期","正常")</f>
        <v/>
      </c>
    </row>
    <row r="297">
      <c r="G297" s="2" t="n"/>
      <c r="H297" s="3" t="n"/>
      <c r="I297" s="3" t="n"/>
      <c r="L297">
        <f>IF(AND(F297&lt;&gt;"已完成",I297&lt;&gt;"",TODAY()&gt;I297),"逾期","正常")</f>
        <v/>
      </c>
    </row>
    <row r="298">
      <c r="G298" s="2" t="n"/>
      <c r="H298" s="3" t="n"/>
      <c r="I298" s="3" t="n"/>
      <c r="L298">
        <f>IF(AND(F298&lt;&gt;"已完成",I298&lt;&gt;"",TODAY()&gt;I298),"逾期","正常")</f>
        <v/>
      </c>
    </row>
    <row r="299">
      <c r="G299" s="2" t="n"/>
      <c r="H299" s="3" t="n"/>
      <c r="I299" s="3" t="n"/>
      <c r="L299">
        <f>IF(AND(F299&lt;&gt;"已完成",I299&lt;&gt;"",TODAY()&gt;I299),"逾期","正常")</f>
        <v/>
      </c>
    </row>
    <row r="300">
      <c r="G300" s="2" t="n"/>
      <c r="H300" s="3" t="n"/>
      <c r="I300" s="3" t="n"/>
      <c r="L300">
        <f>IF(AND(F300&lt;&gt;"已完成",I300&lt;&gt;"",TODAY()&gt;I300),"逾期","正常")</f>
        <v/>
      </c>
    </row>
    <row r="301">
      <c r="G301" s="2" t="n"/>
      <c r="H301" s="3" t="n"/>
      <c r="I301" s="3" t="n"/>
      <c r="L301">
        <f>IF(AND(F301&lt;&gt;"已完成",I301&lt;&gt;"",TODAY()&gt;I301),"逾期","正常")</f>
        <v/>
      </c>
    </row>
    <row r="302">
      <c r="G302" s="2" t="n"/>
      <c r="H302" s="3" t="n"/>
      <c r="I302" s="3" t="n"/>
      <c r="L302">
        <f>IF(AND(F302&lt;&gt;"已完成",I302&lt;&gt;"",TODAY()&gt;I302),"逾期","正常")</f>
        <v/>
      </c>
    </row>
    <row r="303">
      <c r="G303" s="2" t="n"/>
      <c r="H303" s="3" t="n"/>
      <c r="I303" s="3" t="n"/>
      <c r="L303">
        <f>IF(AND(F303&lt;&gt;"已完成",I303&lt;&gt;"",TODAY()&gt;I303),"逾期","正常")</f>
        <v/>
      </c>
    </row>
    <row r="304">
      <c r="G304" s="2" t="n"/>
      <c r="H304" s="3" t="n"/>
      <c r="I304" s="3" t="n"/>
      <c r="L304">
        <f>IF(AND(F304&lt;&gt;"已完成",I304&lt;&gt;"",TODAY()&gt;I304),"逾期","正常")</f>
        <v/>
      </c>
    </row>
    <row r="305">
      <c r="G305" s="2" t="n"/>
      <c r="H305" s="3" t="n"/>
      <c r="I305" s="3" t="n"/>
      <c r="L305">
        <f>IF(AND(F305&lt;&gt;"已完成",I305&lt;&gt;"",TODAY()&gt;I305),"逾期","正常")</f>
        <v/>
      </c>
    </row>
    <row r="306">
      <c r="G306" s="2" t="n"/>
      <c r="H306" s="3" t="n"/>
      <c r="I306" s="3" t="n"/>
      <c r="L306">
        <f>IF(AND(F306&lt;&gt;"已完成",I306&lt;&gt;"",TODAY()&gt;I306),"逾期","正常")</f>
        <v/>
      </c>
    </row>
    <row r="307">
      <c r="G307" s="2" t="n"/>
      <c r="H307" s="3" t="n"/>
      <c r="I307" s="3" t="n"/>
      <c r="L307">
        <f>IF(AND(F307&lt;&gt;"已完成",I307&lt;&gt;"",TODAY()&gt;I307),"逾期","正常")</f>
        <v/>
      </c>
    </row>
    <row r="308">
      <c r="G308" s="2" t="n"/>
      <c r="H308" s="3" t="n"/>
      <c r="I308" s="3" t="n"/>
      <c r="L308">
        <f>IF(AND(F308&lt;&gt;"已完成",I308&lt;&gt;"",TODAY()&gt;I308),"逾期","正常")</f>
        <v/>
      </c>
    </row>
    <row r="309">
      <c r="G309" s="2" t="n"/>
      <c r="H309" s="3" t="n"/>
      <c r="I309" s="3" t="n"/>
      <c r="L309">
        <f>IF(AND(F309&lt;&gt;"已完成",I309&lt;&gt;"",TODAY()&gt;I309),"逾期","正常")</f>
        <v/>
      </c>
    </row>
    <row r="310">
      <c r="G310" s="2" t="n"/>
      <c r="H310" s="3" t="n"/>
      <c r="I310" s="3" t="n"/>
      <c r="L310">
        <f>IF(AND(F310&lt;&gt;"已完成",I310&lt;&gt;"",TODAY()&gt;I310),"逾期","正常")</f>
        <v/>
      </c>
    </row>
    <row r="311">
      <c r="G311" s="2" t="n"/>
      <c r="H311" s="3" t="n"/>
      <c r="I311" s="3" t="n"/>
      <c r="L311">
        <f>IF(AND(F311&lt;&gt;"已完成",I311&lt;&gt;"",TODAY()&gt;I311),"逾期","正常")</f>
        <v/>
      </c>
    </row>
    <row r="312">
      <c r="G312" s="2" t="n"/>
      <c r="H312" s="3" t="n"/>
      <c r="I312" s="3" t="n"/>
      <c r="L312">
        <f>IF(AND(F312&lt;&gt;"已完成",I312&lt;&gt;"",TODAY()&gt;I312),"逾期","正常")</f>
        <v/>
      </c>
    </row>
    <row r="313">
      <c r="G313" s="2" t="n"/>
      <c r="H313" s="3" t="n"/>
      <c r="I313" s="3" t="n"/>
      <c r="L313">
        <f>IF(AND(F313&lt;&gt;"已完成",I313&lt;&gt;"",TODAY()&gt;I313),"逾期","正常")</f>
        <v/>
      </c>
    </row>
    <row r="314">
      <c r="G314" s="2" t="n"/>
      <c r="H314" s="3" t="n"/>
      <c r="I314" s="3" t="n"/>
      <c r="L314">
        <f>IF(AND(F314&lt;&gt;"已完成",I314&lt;&gt;"",TODAY()&gt;I314),"逾期","正常")</f>
        <v/>
      </c>
    </row>
    <row r="315">
      <c r="G315" s="2" t="n"/>
      <c r="H315" s="3" t="n"/>
      <c r="I315" s="3" t="n"/>
      <c r="L315">
        <f>IF(AND(F315&lt;&gt;"已完成",I315&lt;&gt;"",TODAY()&gt;I315),"逾期","正常")</f>
        <v/>
      </c>
    </row>
    <row r="316">
      <c r="G316" s="2" t="n"/>
      <c r="H316" s="3" t="n"/>
      <c r="I316" s="3" t="n"/>
      <c r="L316">
        <f>IF(AND(F316&lt;&gt;"已完成",I316&lt;&gt;"",TODAY()&gt;I316),"逾期","正常")</f>
        <v/>
      </c>
    </row>
    <row r="317">
      <c r="G317" s="2" t="n"/>
      <c r="H317" s="3" t="n"/>
      <c r="I317" s="3" t="n"/>
      <c r="L317">
        <f>IF(AND(F317&lt;&gt;"已完成",I317&lt;&gt;"",TODAY()&gt;I317),"逾期","正常")</f>
        <v/>
      </c>
    </row>
    <row r="318">
      <c r="G318" s="2" t="n"/>
      <c r="H318" s="3" t="n"/>
      <c r="I318" s="3" t="n"/>
      <c r="L318">
        <f>IF(AND(F318&lt;&gt;"已完成",I318&lt;&gt;"",TODAY()&gt;I318),"逾期","正常")</f>
        <v/>
      </c>
    </row>
    <row r="319">
      <c r="G319" s="2" t="n"/>
      <c r="H319" s="3" t="n"/>
      <c r="I319" s="3" t="n"/>
      <c r="L319">
        <f>IF(AND(F319&lt;&gt;"已完成",I319&lt;&gt;"",TODAY()&gt;I319),"逾期","正常")</f>
        <v/>
      </c>
    </row>
    <row r="320">
      <c r="G320" s="2" t="n"/>
      <c r="H320" s="3" t="n"/>
      <c r="I320" s="3" t="n"/>
      <c r="L320">
        <f>IF(AND(F320&lt;&gt;"已完成",I320&lt;&gt;"",TODAY()&gt;I320),"逾期","正常")</f>
        <v/>
      </c>
    </row>
    <row r="321">
      <c r="G321" s="2" t="n"/>
      <c r="H321" s="3" t="n"/>
      <c r="I321" s="3" t="n"/>
      <c r="L321">
        <f>IF(AND(F321&lt;&gt;"已完成",I321&lt;&gt;"",TODAY()&gt;I321),"逾期","正常")</f>
        <v/>
      </c>
    </row>
    <row r="322">
      <c r="G322" s="2" t="n"/>
      <c r="H322" s="3" t="n"/>
      <c r="I322" s="3" t="n"/>
      <c r="L322">
        <f>IF(AND(F322&lt;&gt;"已完成",I322&lt;&gt;"",TODAY()&gt;I322),"逾期","正常")</f>
        <v/>
      </c>
    </row>
    <row r="323">
      <c r="G323" s="2" t="n"/>
      <c r="H323" s="3" t="n"/>
      <c r="I323" s="3" t="n"/>
      <c r="L323">
        <f>IF(AND(F323&lt;&gt;"已完成",I323&lt;&gt;"",TODAY()&gt;I323),"逾期","正常")</f>
        <v/>
      </c>
    </row>
    <row r="324">
      <c r="G324" s="2" t="n"/>
      <c r="H324" s="3" t="n"/>
      <c r="I324" s="3" t="n"/>
      <c r="L324">
        <f>IF(AND(F324&lt;&gt;"已完成",I324&lt;&gt;"",TODAY()&gt;I324),"逾期","正常")</f>
        <v/>
      </c>
    </row>
    <row r="325">
      <c r="G325" s="2" t="n"/>
      <c r="H325" s="3" t="n"/>
      <c r="I325" s="3" t="n"/>
      <c r="L325">
        <f>IF(AND(F325&lt;&gt;"已完成",I325&lt;&gt;"",TODAY()&gt;I325),"逾期","正常")</f>
        <v/>
      </c>
    </row>
    <row r="326">
      <c r="G326" s="2" t="n"/>
      <c r="H326" s="3" t="n"/>
      <c r="I326" s="3" t="n"/>
      <c r="L326">
        <f>IF(AND(F326&lt;&gt;"已完成",I326&lt;&gt;"",TODAY()&gt;I326),"逾期","正常")</f>
        <v/>
      </c>
    </row>
    <row r="327">
      <c r="G327" s="2" t="n"/>
      <c r="H327" s="3" t="n"/>
      <c r="I327" s="3" t="n"/>
      <c r="L327">
        <f>IF(AND(F327&lt;&gt;"已完成",I327&lt;&gt;"",TODAY()&gt;I327),"逾期","正常")</f>
        <v/>
      </c>
    </row>
    <row r="328">
      <c r="G328" s="2" t="n"/>
      <c r="H328" s="3" t="n"/>
      <c r="I328" s="3" t="n"/>
      <c r="L328">
        <f>IF(AND(F328&lt;&gt;"已完成",I328&lt;&gt;"",TODAY()&gt;I328),"逾期","正常")</f>
        <v/>
      </c>
    </row>
    <row r="329">
      <c r="G329" s="2" t="n"/>
      <c r="H329" s="3" t="n"/>
      <c r="I329" s="3" t="n"/>
      <c r="L329">
        <f>IF(AND(F329&lt;&gt;"已完成",I329&lt;&gt;"",TODAY()&gt;I329),"逾期","正常")</f>
        <v/>
      </c>
    </row>
    <row r="330">
      <c r="G330" s="2" t="n"/>
      <c r="H330" s="3" t="n"/>
      <c r="I330" s="3" t="n"/>
      <c r="L330">
        <f>IF(AND(F330&lt;&gt;"已完成",I330&lt;&gt;"",TODAY()&gt;I330),"逾期","正常")</f>
        <v/>
      </c>
    </row>
    <row r="331">
      <c r="G331" s="2" t="n"/>
      <c r="H331" s="3" t="n"/>
      <c r="I331" s="3" t="n"/>
      <c r="L331">
        <f>IF(AND(F331&lt;&gt;"已完成",I331&lt;&gt;"",TODAY()&gt;I331),"逾期","正常")</f>
        <v/>
      </c>
    </row>
    <row r="332">
      <c r="G332" s="2" t="n"/>
      <c r="H332" s="3" t="n"/>
      <c r="I332" s="3" t="n"/>
      <c r="L332">
        <f>IF(AND(F332&lt;&gt;"已完成",I332&lt;&gt;"",TODAY()&gt;I332),"逾期","正常")</f>
        <v/>
      </c>
    </row>
    <row r="333">
      <c r="G333" s="2" t="n"/>
      <c r="H333" s="3" t="n"/>
      <c r="I333" s="3" t="n"/>
      <c r="L333">
        <f>IF(AND(F333&lt;&gt;"已完成",I333&lt;&gt;"",TODAY()&gt;I333),"逾期","正常")</f>
        <v/>
      </c>
    </row>
    <row r="334">
      <c r="G334" s="2" t="n"/>
      <c r="H334" s="3" t="n"/>
      <c r="I334" s="3" t="n"/>
      <c r="L334">
        <f>IF(AND(F334&lt;&gt;"已完成",I334&lt;&gt;"",TODAY()&gt;I334),"逾期","正常")</f>
        <v/>
      </c>
    </row>
    <row r="335">
      <c r="G335" s="2" t="n"/>
      <c r="H335" s="3" t="n"/>
      <c r="I335" s="3" t="n"/>
      <c r="L335">
        <f>IF(AND(F335&lt;&gt;"已完成",I335&lt;&gt;"",TODAY()&gt;I335),"逾期","正常")</f>
        <v/>
      </c>
    </row>
    <row r="336">
      <c r="G336" s="2" t="n"/>
      <c r="H336" s="3" t="n"/>
      <c r="I336" s="3" t="n"/>
      <c r="L336">
        <f>IF(AND(F336&lt;&gt;"已完成",I336&lt;&gt;"",TODAY()&gt;I336),"逾期","正常")</f>
        <v/>
      </c>
    </row>
    <row r="337">
      <c r="G337" s="2" t="n"/>
      <c r="H337" s="3" t="n"/>
      <c r="I337" s="3" t="n"/>
      <c r="L337">
        <f>IF(AND(F337&lt;&gt;"已完成",I337&lt;&gt;"",TODAY()&gt;I337),"逾期","正常")</f>
        <v/>
      </c>
    </row>
    <row r="338">
      <c r="G338" s="2" t="n"/>
      <c r="H338" s="3" t="n"/>
      <c r="I338" s="3" t="n"/>
      <c r="L338">
        <f>IF(AND(F338&lt;&gt;"已完成",I338&lt;&gt;"",TODAY()&gt;I338),"逾期","正常")</f>
        <v/>
      </c>
    </row>
    <row r="339">
      <c r="G339" s="2" t="n"/>
      <c r="H339" s="3" t="n"/>
      <c r="I339" s="3" t="n"/>
      <c r="L339">
        <f>IF(AND(F339&lt;&gt;"已完成",I339&lt;&gt;"",TODAY()&gt;I339),"逾期","正常")</f>
        <v/>
      </c>
    </row>
    <row r="340">
      <c r="G340" s="2" t="n"/>
      <c r="H340" s="3" t="n"/>
      <c r="I340" s="3" t="n"/>
      <c r="L340">
        <f>IF(AND(F340&lt;&gt;"已完成",I340&lt;&gt;"",TODAY()&gt;I340),"逾期","正常")</f>
        <v/>
      </c>
    </row>
    <row r="341">
      <c r="G341" s="2" t="n"/>
      <c r="H341" s="3" t="n"/>
      <c r="I341" s="3" t="n"/>
      <c r="L341">
        <f>IF(AND(F341&lt;&gt;"已完成",I341&lt;&gt;"",TODAY()&gt;I341),"逾期","正常")</f>
        <v/>
      </c>
    </row>
    <row r="342">
      <c r="G342" s="2" t="n"/>
      <c r="H342" s="3" t="n"/>
      <c r="I342" s="3" t="n"/>
      <c r="L342">
        <f>IF(AND(F342&lt;&gt;"已完成",I342&lt;&gt;"",TODAY()&gt;I342),"逾期","正常")</f>
        <v/>
      </c>
    </row>
    <row r="343">
      <c r="G343" s="2" t="n"/>
      <c r="H343" s="3" t="n"/>
      <c r="I343" s="3" t="n"/>
      <c r="L343">
        <f>IF(AND(F343&lt;&gt;"已完成",I343&lt;&gt;"",TODAY()&gt;I343),"逾期","正常")</f>
        <v/>
      </c>
    </row>
    <row r="344">
      <c r="G344" s="2" t="n"/>
      <c r="H344" s="3" t="n"/>
      <c r="I344" s="3" t="n"/>
      <c r="L344">
        <f>IF(AND(F344&lt;&gt;"已完成",I344&lt;&gt;"",TODAY()&gt;I344),"逾期","正常")</f>
        <v/>
      </c>
    </row>
    <row r="345">
      <c r="G345" s="2" t="n"/>
      <c r="H345" s="3" t="n"/>
      <c r="I345" s="3" t="n"/>
      <c r="L345">
        <f>IF(AND(F345&lt;&gt;"已完成",I345&lt;&gt;"",TODAY()&gt;I345),"逾期","正常")</f>
        <v/>
      </c>
    </row>
    <row r="346">
      <c r="G346" s="2" t="n"/>
      <c r="H346" s="3" t="n"/>
      <c r="I346" s="3" t="n"/>
      <c r="L346">
        <f>IF(AND(F346&lt;&gt;"已完成",I346&lt;&gt;"",TODAY()&gt;I346),"逾期","正常")</f>
        <v/>
      </c>
    </row>
    <row r="347">
      <c r="G347" s="2" t="n"/>
      <c r="H347" s="3" t="n"/>
      <c r="I347" s="3" t="n"/>
      <c r="L347">
        <f>IF(AND(F347&lt;&gt;"已完成",I347&lt;&gt;"",TODAY()&gt;I347),"逾期","正常")</f>
        <v/>
      </c>
    </row>
    <row r="348">
      <c r="G348" s="2" t="n"/>
      <c r="H348" s="3" t="n"/>
      <c r="I348" s="3" t="n"/>
      <c r="L348">
        <f>IF(AND(F348&lt;&gt;"已完成",I348&lt;&gt;"",TODAY()&gt;I348),"逾期","正常")</f>
        <v/>
      </c>
    </row>
    <row r="349">
      <c r="G349" s="2" t="n"/>
      <c r="H349" s="3" t="n"/>
      <c r="I349" s="3" t="n"/>
      <c r="L349">
        <f>IF(AND(F349&lt;&gt;"已完成",I349&lt;&gt;"",TODAY()&gt;I349),"逾期","正常")</f>
        <v/>
      </c>
    </row>
    <row r="350">
      <c r="G350" s="2" t="n"/>
      <c r="H350" s="3" t="n"/>
      <c r="I350" s="3" t="n"/>
      <c r="L350">
        <f>IF(AND(F350&lt;&gt;"已完成",I350&lt;&gt;"",TODAY()&gt;I350),"逾期","正常")</f>
        <v/>
      </c>
    </row>
    <row r="351">
      <c r="G351" s="2" t="n"/>
      <c r="H351" s="3" t="n"/>
      <c r="I351" s="3" t="n"/>
      <c r="L351">
        <f>IF(AND(F351&lt;&gt;"已完成",I351&lt;&gt;"",TODAY()&gt;I351),"逾期","正常")</f>
        <v/>
      </c>
    </row>
    <row r="352">
      <c r="G352" s="2" t="n"/>
      <c r="H352" s="3" t="n"/>
      <c r="I352" s="3" t="n"/>
      <c r="L352">
        <f>IF(AND(F352&lt;&gt;"已完成",I352&lt;&gt;"",TODAY()&gt;I352),"逾期","正常")</f>
        <v/>
      </c>
    </row>
    <row r="353">
      <c r="G353" s="2" t="n"/>
      <c r="H353" s="3" t="n"/>
      <c r="I353" s="3" t="n"/>
      <c r="L353">
        <f>IF(AND(F353&lt;&gt;"已完成",I353&lt;&gt;"",TODAY()&gt;I353),"逾期","正常")</f>
        <v/>
      </c>
    </row>
    <row r="354">
      <c r="G354" s="2" t="n"/>
      <c r="H354" s="3" t="n"/>
      <c r="I354" s="3" t="n"/>
      <c r="L354">
        <f>IF(AND(F354&lt;&gt;"已完成",I354&lt;&gt;"",TODAY()&gt;I354),"逾期","正常")</f>
        <v/>
      </c>
    </row>
    <row r="355">
      <c r="G355" s="2" t="n"/>
      <c r="H355" s="3" t="n"/>
      <c r="I355" s="3" t="n"/>
      <c r="L355">
        <f>IF(AND(F355&lt;&gt;"已完成",I355&lt;&gt;"",TODAY()&gt;I355),"逾期","正常")</f>
        <v/>
      </c>
    </row>
    <row r="356">
      <c r="G356" s="2" t="n"/>
      <c r="H356" s="3" t="n"/>
      <c r="I356" s="3" t="n"/>
      <c r="L356">
        <f>IF(AND(F356&lt;&gt;"已完成",I356&lt;&gt;"",TODAY()&gt;I356),"逾期","正常")</f>
        <v/>
      </c>
    </row>
    <row r="357">
      <c r="G357" s="2" t="n"/>
      <c r="H357" s="3" t="n"/>
      <c r="I357" s="3" t="n"/>
      <c r="L357">
        <f>IF(AND(F357&lt;&gt;"已完成",I357&lt;&gt;"",TODAY()&gt;I357),"逾期","正常")</f>
        <v/>
      </c>
    </row>
    <row r="358">
      <c r="G358" s="2" t="n"/>
      <c r="H358" s="3" t="n"/>
      <c r="I358" s="3" t="n"/>
      <c r="L358">
        <f>IF(AND(F358&lt;&gt;"已完成",I358&lt;&gt;"",TODAY()&gt;I358),"逾期","正常")</f>
        <v/>
      </c>
    </row>
    <row r="359">
      <c r="G359" s="2" t="n"/>
      <c r="H359" s="3" t="n"/>
      <c r="I359" s="3" t="n"/>
      <c r="L359">
        <f>IF(AND(F359&lt;&gt;"已完成",I359&lt;&gt;"",TODAY()&gt;I359),"逾期","正常")</f>
        <v/>
      </c>
    </row>
    <row r="360">
      <c r="G360" s="2" t="n"/>
      <c r="H360" s="3" t="n"/>
      <c r="I360" s="3" t="n"/>
      <c r="L360">
        <f>IF(AND(F360&lt;&gt;"已完成",I360&lt;&gt;"",TODAY()&gt;I360),"逾期","正常")</f>
        <v/>
      </c>
    </row>
    <row r="361">
      <c r="G361" s="2" t="n"/>
      <c r="H361" s="3" t="n"/>
      <c r="I361" s="3" t="n"/>
      <c r="L361">
        <f>IF(AND(F361&lt;&gt;"已完成",I361&lt;&gt;"",TODAY()&gt;I361),"逾期","正常")</f>
        <v/>
      </c>
    </row>
    <row r="362">
      <c r="G362" s="2" t="n"/>
      <c r="H362" s="3" t="n"/>
      <c r="I362" s="3" t="n"/>
      <c r="L362">
        <f>IF(AND(F362&lt;&gt;"已完成",I362&lt;&gt;"",TODAY()&gt;I362),"逾期","正常")</f>
        <v/>
      </c>
    </row>
    <row r="363">
      <c r="G363" s="2" t="n"/>
      <c r="H363" s="3" t="n"/>
      <c r="I363" s="3" t="n"/>
      <c r="L363">
        <f>IF(AND(F363&lt;&gt;"已完成",I363&lt;&gt;"",TODAY()&gt;I363),"逾期","正常")</f>
        <v/>
      </c>
    </row>
    <row r="364">
      <c r="G364" s="2" t="n"/>
      <c r="H364" s="3" t="n"/>
      <c r="I364" s="3" t="n"/>
      <c r="L364">
        <f>IF(AND(F364&lt;&gt;"已完成",I364&lt;&gt;"",TODAY()&gt;I364),"逾期","正常")</f>
        <v/>
      </c>
    </row>
    <row r="365">
      <c r="G365" s="2" t="n"/>
      <c r="H365" s="3" t="n"/>
      <c r="I365" s="3" t="n"/>
      <c r="L365">
        <f>IF(AND(F365&lt;&gt;"已完成",I365&lt;&gt;"",TODAY()&gt;I365),"逾期","正常")</f>
        <v/>
      </c>
    </row>
    <row r="366">
      <c r="G366" s="2" t="n"/>
      <c r="H366" s="3" t="n"/>
      <c r="I366" s="3" t="n"/>
      <c r="L366">
        <f>IF(AND(F366&lt;&gt;"已完成",I366&lt;&gt;"",TODAY()&gt;I366),"逾期","正常")</f>
        <v/>
      </c>
    </row>
    <row r="367">
      <c r="G367" s="2" t="n"/>
      <c r="H367" s="3" t="n"/>
      <c r="I367" s="3" t="n"/>
      <c r="L367">
        <f>IF(AND(F367&lt;&gt;"已完成",I367&lt;&gt;"",TODAY()&gt;I367),"逾期","正常")</f>
        <v/>
      </c>
    </row>
    <row r="368">
      <c r="G368" s="2" t="n"/>
      <c r="H368" s="3" t="n"/>
      <c r="I368" s="3" t="n"/>
      <c r="L368">
        <f>IF(AND(F368&lt;&gt;"已完成",I368&lt;&gt;"",TODAY()&gt;I368),"逾期","正常")</f>
        <v/>
      </c>
    </row>
    <row r="369">
      <c r="G369" s="2" t="n"/>
      <c r="H369" s="3" t="n"/>
      <c r="I369" s="3" t="n"/>
      <c r="L369">
        <f>IF(AND(F369&lt;&gt;"已完成",I369&lt;&gt;"",TODAY()&gt;I369),"逾期","正常")</f>
        <v/>
      </c>
    </row>
    <row r="370">
      <c r="G370" s="2" t="n"/>
      <c r="H370" s="3" t="n"/>
      <c r="I370" s="3" t="n"/>
      <c r="L370">
        <f>IF(AND(F370&lt;&gt;"已完成",I370&lt;&gt;"",TODAY()&gt;I370),"逾期","正常")</f>
        <v/>
      </c>
    </row>
    <row r="371">
      <c r="G371" s="2" t="n"/>
      <c r="H371" s="3" t="n"/>
      <c r="I371" s="3" t="n"/>
      <c r="L371">
        <f>IF(AND(F371&lt;&gt;"已完成",I371&lt;&gt;"",TODAY()&gt;I371),"逾期","正常")</f>
        <v/>
      </c>
    </row>
    <row r="372">
      <c r="G372" s="2" t="n"/>
      <c r="H372" s="3" t="n"/>
      <c r="I372" s="3" t="n"/>
      <c r="L372">
        <f>IF(AND(F372&lt;&gt;"已完成",I372&lt;&gt;"",TODAY()&gt;I372),"逾期","正常")</f>
        <v/>
      </c>
    </row>
    <row r="373">
      <c r="G373" s="2" t="n"/>
      <c r="H373" s="3" t="n"/>
      <c r="I373" s="3" t="n"/>
      <c r="L373">
        <f>IF(AND(F373&lt;&gt;"已完成",I373&lt;&gt;"",TODAY()&gt;I373),"逾期","正常")</f>
        <v/>
      </c>
    </row>
    <row r="374">
      <c r="G374" s="2" t="n"/>
      <c r="H374" s="3" t="n"/>
      <c r="I374" s="3" t="n"/>
      <c r="L374">
        <f>IF(AND(F374&lt;&gt;"已完成",I374&lt;&gt;"",TODAY()&gt;I374),"逾期","正常")</f>
        <v/>
      </c>
    </row>
    <row r="375">
      <c r="G375" s="2" t="n"/>
      <c r="H375" s="3" t="n"/>
      <c r="I375" s="3" t="n"/>
      <c r="L375">
        <f>IF(AND(F375&lt;&gt;"已完成",I375&lt;&gt;"",TODAY()&gt;I375),"逾期","正常")</f>
        <v/>
      </c>
    </row>
    <row r="376">
      <c r="G376" s="2" t="n"/>
      <c r="H376" s="3" t="n"/>
      <c r="I376" s="3" t="n"/>
      <c r="L376">
        <f>IF(AND(F376&lt;&gt;"已完成",I376&lt;&gt;"",TODAY()&gt;I376),"逾期","正常")</f>
        <v/>
      </c>
    </row>
    <row r="377">
      <c r="G377" s="2" t="n"/>
      <c r="H377" s="3" t="n"/>
      <c r="I377" s="3" t="n"/>
      <c r="L377">
        <f>IF(AND(F377&lt;&gt;"已完成",I377&lt;&gt;"",TODAY()&gt;I377),"逾期","正常")</f>
        <v/>
      </c>
    </row>
    <row r="378">
      <c r="G378" s="2" t="n"/>
      <c r="H378" s="3" t="n"/>
      <c r="I378" s="3" t="n"/>
      <c r="L378">
        <f>IF(AND(F378&lt;&gt;"已完成",I378&lt;&gt;"",TODAY()&gt;I378),"逾期","正常")</f>
        <v/>
      </c>
    </row>
    <row r="379">
      <c r="G379" s="2" t="n"/>
      <c r="H379" s="3" t="n"/>
      <c r="I379" s="3" t="n"/>
      <c r="L379">
        <f>IF(AND(F379&lt;&gt;"已完成",I379&lt;&gt;"",TODAY()&gt;I379),"逾期","正常")</f>
        <v/>
      </c>
    </row>
    <row r="380">
      <c r="G380" s="2" t="n"/>
      <c r="H380" s="3" t="n"/>
      <c r="I380" s="3" t="n"/>
      <c r="L380">
        <f>IF(AND(F380&lt;&gt;"已完成",I380&lt;&gt;"",TODAY()&gt;I380),"逾期","正常")</f>
        <v/>
      </c>
    </row>
    <row r="381">
      <c r="G381" s="2" t="n"/>
      <c r="H381" s="3" t="n"/>
      <c r="I381" s="3" t="n"/>
      <c r="L381">
        <f>IF(AND(F381&lt;&gt;"已完成",I381&lt;&gt;"",TODAY()&gt;I381),"逾期","正常")</f>
        <v/>
      </c>
    </row>
    <row r="382">
      <c r="G382" s="2" t="n"/>
      <c r="H382" s="3" t="n"/>
      <c r="I382" s="3" t="n"/>
      <c r="L382">
        <f>IF(AND(F382&lt;&gt;"已完成",I382&lt;&gt;"",TODAY()&gt;I382),"逾期","正常")</f>
        <v/>
      </c>
    </row>
    <row r="383">
      <c r="G383" s="2" t="n"/>
      <c r="H383" s="3" t="n"/>
      <c r="I383" s="3" t="n"/>
      <c r="L383">
        <f>IF(AND(F383&lt;&gt;"已完成",I383&lt;&gt;"",TODAY()&gt;I383),"逾期","正常")</f>
        <v/>
      </c>
    </row>
    <row r="384">
      <c r="G384" s="2" t="n"/>
      <c r="H384" s="3" t="n"/>
      <c r="I384" s="3" t="n"/>
      <c r="L384">
        <f>IF(AND(F384&lt;&gt;"已完成",I384&lt;&gt;"",TODAY()&gt;I384),"逾期","正常")</f>
        <v/>
      </c>
    </row>
    <row r="385">
      <c r="G385" s="2" t="n"/>
      <c r="H385" s="3" t="n"/>
      <c r="I385" s="3" t="n"/>
      <c r="L385">
        <f>IF(AND(F385&lt;&gt;"已完成",I385&lt;&gt;"",TODAY()&gt;I385),"逾期","正常")</f>
        <v/>
      </c>
    </row>
    <row r="386">
      <c r="G386" s="2" t="n"/>
      <c r="H386" s="3" t="n"/>
      <c r="I386" s="3" t="n"/>
      <c r="L386">
        <f>IF(AND(F386&lt;&gt;"已完成",I386&lt;&gt;"",TODAY()&gt;I386),"逾期","正常")</f>
        <v/>
      </c>
    </row>
    <row r="387">
      <c r="G387" s="2" t="n"/>
      <c r="H387" s="3" t="n"/>
      <c r="I387" s="3" t="n"/>
      <c r="L387">
        <f>IF(AND(F387&lt;&gt;"已完成",I387&lt;&gt;"",TODAY()&gt;I387),"逾期","正常")</f>
        <v/>
      </c>
    </row>
    <row r="388">
      <c r="G388" s="2" t="n"/>
      <c r="H388" s="3" t="n"/>
      <c r="I388" s="3" t="n"/>
      <c r="L388">
        <f>IF(AND(F388&lt;&gt;"已完成",I388&lt;&gt;"",TODAY()&gt;I388),"逾期","正常")</f>
        <v/>
      </c>
    </row>
    <row r="389">
      <c r="G389" s="2" t="n"/>
      <c r="H389" s="3" t="n"/>
      <c r="I389" s="3" t="n"/>
      <c r="L389">
        <f>IF(AND(F389&lt;&gt;"已完成",I389&lt;&gt;"",TODAY()&gt;I389),"逾期","正常")</f>
        <v/>
      </c>
    </row>
    <row r="390">
      <c r="G390" s="2" t="n"/>
      <c r="H390" s="3" t="n"/>
      <c r="I390" s="3" t="n"/>
      <c r="L390">
        <f>IF(AND(F390&lt;&gt;"已完成",I390&lt;&gt;"",TODAY()&gt;I390),"逾期","正常")</f>
        <v/>
      </c>
    </row>
    <row r="391">
      <c r="G391" s="2" t="n"/>
      <c r="H391" s="3" t="n"/>
      <c r="I391" s="3" t="n"/>
      <c r="L391">
        <f>IF(AND(F391&lt;&gt;"已完成",I391&lt;&gt;"",TODAY()&gt;I391),"逾期","正常")</f>
        <v/>
      </c>
    </row>
    <row r="392">
      <c r="G392" s="2" t="n"/>
      <c r="H392" s="3" t="n"/>
      <c r="I392" s="3" t="n"/>
      <c r="L392">
        <f>IF(AND(F392&lt;&gt;"已完成",I392&lt;&gt;"",TODAY()&gt;I392),"逾期","正常")</f>
        <v/>
      </c>
    </row>
    <row r="393">
      <c r="G393" s="2" t="n"/>
      <c r="H393" s="3" t="n"/>
      <c r="I393" s="3" t="n"/>
      <c r="L393">
        <f>IF(AND(F393&lt;&gt;"已完成",I393&lt;&gt;"",TODAY()&gt;I393),"逾期","正常")</f>
        <v/>
      </c>
    </row>
    <row r="394">
      <c r="G394" s="2" t="n"/>
      <c r="H394" s="3" t="n"/>
      <c r="I394" s="3" t="n"/>
      <c r="L394">
        <f>IF(AND(F394&lt;&gt;"已完成",I394&lt;&gt;"",TODAY()&gt;I394),"逾期","正常")</f>
        <v/>
      </c>
    </row>
    <row r="395">
      <c r="G395" s="2" t="n"/>
      <c r="H395" s="3" t="n"/>
      <c r="I395" s="3" t="n"/>
      <c r="L395">
        <f>IF(AND(F395&lt;&gt;"已完成",I395&lt;&gt;"",TODAY()&gt;I395),"逾期","正常")</f>
        <v/>
      </c>
    </row>
    <row r="396">
      <c r="G396" s="2" t="n"/>
      <c r="H396" s="3" t="n"/>
      <c r="I396" s="3" t="n"/>
      <c r="L396">
        <f>IF(AND(F396&lt;&gt;"已完成",I396&lt;&gt;"",TODAY()&gt;I396),"逾期","正常")</f>
        <v/>
      </c>
    </row>
    <row r="397">
      <c r="G397" s="2" t="n"/>
      <c r="H397" s="3" t="n"/>
      <c r="I397" s="3" t="n"/>
      <c r="L397">
        <f>IF(AND(F397&lt;&gt;"已完成",I397&lt;&gt;"",TODAY()&gt;I397),"逾期","正常")</f>
        <v/>
      </c>
    </row>
    <row r="398">
      <c r="G398" s="2" t="n"/>
      <c r="H398" s="3" t="n"/>
      <c r="I398" s="3" t="n"/>
      <c r="L398">
        <f>IF(AND(F398&lt;&gt;"已完成",I398&lt;&gt;"",TODAY()&gt;I398),"逾期","正常")</f>
        <v/>
      </c>
    </row>
    <row r="399">
      <c r="G399" s="2" t="n"/>
      <c r="H399" s="3" t="n"/>
      <c r="I399" s="3" t="n"/>
      <c r="L399">
        <f>IF(AND(F399&lt;&gt;"已完成",I399&lt;&gt;"",TODAY()&gt;I399),"逾期","正常")</f>
        <v/>
      </c>
    </row>
    <row r="400">
      <c r="G400" s="2" t="n"/>
      <c r="H400" s="3" t="n"/>
      <c r="I400" s="3" t="n"/>
      <c r="L400">
        <f>IF(AND(F400&lt;&gt;"已完成",I400&lt;&gt;"",TODAY()&gt;I400),"逾期","正常")</f>
        <v/>
      </c>
    </row>
    <row r="401">
      <c r="G401" s="2" t="n"/>
      <c r="H401" s="3" t="n"/>
      <c r="I401" s="3" t="n"/>
      <c r="L401">
        <f>IF(AND(F401&lt;&gt;"已完成",I401&lt;&gt;"",TODAY()&gt;I401),"逾期","正常")</f>
        <v/>
      </c>
    </row>
    <row r="402">
      <c r="G402" s="2" t="n"/>
      <c r="H402" s="3" t="n"/>
      <c r="I402" s="3" t="n"/>
      <c r="L402">
        <f>IF(AND(F402&lt;&gt;"已完成",I402&lt;&gt;"",TODAY()&gt;I402),"逾期","正常")</f>
        <v/>
      </c>
    </row>
    <row r="403">
      <c r="G403" s="2" t="n"/>
      <c r="H403" s="3" t="n"/>
      <c r="I403" s="3" t="n"/>
      <c r="L403">
        <f>IF(AND(F403&lt;&gt;"已完成",I403&lt;&gt;"",TODAY()&gt;I403),"逾期","正常")</f>
        <v/>
      </c>
    </row>
    <row r="404">
      <c r="G404" s="2" t="n"/>
      <c r="H404" s="3" t="n"/>
      <c r="I404" s="3" t="n"/>
      <c r="L404">
        <f>IF(AND(F404&lt;&gt;"已完成",I404&lt;&gt;"",TODAY()&gt;I404),"逾期","正常")</f>
        <v/>
      </c>
    </row>
    <row r="405">
      <c r="G405" s="2" t="n"/>
      <c r="H405" s="3" t="n"/>
      <c r="I405" s="3" t="n"/>
      <c r="L405">
        <f>IF(AND(F405&lt;&gt;"已完成",I405&lt;&gt;"",TODAY()&gt;I405),"逾期","正常")</f>
        <v/>
      </c>
    </row>
    <row r="406">
      <c r="G406" s="2" t="n"/>
      <c r="H406" s="3" t="n"/>
      <c r="I406" s="3" t="n"/>
      <c r="L406">
        <f>IF(AND(F406&lt;&gt;"已完成",I406&lt;&gt;"",TODAY()&gt;I406),"逾期","正常")</f>
        <v/>
      </c>
    </row>
    <row r="407">
      <c r="G407" s="2" t="n"/>
      <c r="H407" s="3" t="n"/>
      <c r="I407" s="3" t="n"/>
      <c r="L407">
        <f>IF(AND(F407&lt;&gt;"已完成",I407&lt;&gt;"",TODAY()&gt;I407),"逾期","正常")</f>
        <v/>
      </c>
    </row>
    <row r="408">
      <c r="G408" s="2" t="n"/>
      <c r="H408" s="3" t="n"/>
      <c r="I408" s="3" t="n"/>
      <c r="L408">
        <f>IF(AND(F408&lt;&gt;"已完成",I408&lt;&gt;"",TODAY()&gt;I408),"逾期","正常")</f>
        <v/>
      </c>
    </row>
    <row r="409">
      <c r="G409" s="2" t="n"/>
      <c r="H409" s="3" t="n"/>
      <c r="I409" s="3" t="n"/>
      <c r="L409">
        <f>IF(AND(F409&lt;&gt;"已完成",I409&lt;&gt;"",TODAY()&gt;I409),"逾期","正常")</f>
        <v/>
      </c>
    </row>
    <row r="410">
      <c r="G410" s="2" t="n"/>
      <c r="H410" s="3" t="n"/>
      <c r="I410" s="3" t="n"/>
      <c r="L410">
        <f>IF(AND(F410&lt;&gt;"已完成",I410&lt;&gt;"",TODAY()&gt;I410),"逾期","正常")</f>
        <v/>
      </c>
    </row>
    <row r="411">
      <c r="G411" s="2" t="n"/>
      <c r="H411" s="3" t="n"/>
      <c r="I411" s="3" t="n"/>
      <c r="L411">
        <f>IF(AND(F411&lt;&gt;"已完成",I411&lt;&gt;"",TODAY()&gt;I411),"逾期","正常")</f>
        <v/>
      </c>
    </row>
    <row r="412">
      <c r="G412" s="2" t="n"/>
      <c r="H412" s="3" t="n"/>
      <c r="I412" s="3" t="n"/>
      <c r="L412">
        <f>IF(AND(F412&lt;&gt;"已完成",I412&lt;&gt;"",TODAY()&gt;I412),"逾期","正常")</f>
        <v/>
      </c>
    </row>
    <row r="413">
      <c r="G413" s="2" t="n"/>
      <c r="H413" s="3" t="n"/>
      <c r="I413" s="3" t="n"/>
      <c r="L413">
        <f>IF(AND(F413&lt;&gt;"已完成",I413&lt;&gt;"",TODAY()&gt;I413),"逾期","正常")</f>
        <v/>
      </c>
    </row>
    <row r="414">
      <c r="G414" s="2" t="n"/>
      <c r="H414" s="3" t="n"/>
      <c r="I414" s="3" t="n"/>
      <c r="L414">
        <f>IF(AND(F414&lt;&gt;"已完成",I414&lt;&gt;"",TODAY()&gt;I414),"逾期","正常")</f>
        <v/>
      </c>
    </row>
    <row r="415">
      <c r="G415" s="2" t="n"/>
      <c r="H415" s="3" t="n"/>
      <c r="I415" s="3" t="n"/>
      <c r="L415">
        <f>IF(AND(F415&lt;&gt;"已完成",I415&lt;&gt;"",TODAY()&gt;I415),"逾期","正常")</f>
        <v/>
      </c>
    </row>
    <row r="416">
      <c r="G416" s="2" t="n"/>
      <c r="H416" s="3" t="n"/>
      <c r="I416" s="3" t="n"/>
      <c r="L416">
        <f>IF(AND(F416&lt;&gt;"已完成",I416&lt;&gt;"",TODAY()&gt;I416),"逾期","正常")</f>
        <v/>
      </c>
    </row>
    <row r="417">
      <c r="G417" s="2" t="n"/>
      <c r="H417" s="3" t="n"/>
      <c r="I417" s="3" t="n"/>
      <c r="L417">
        <f>IF(AND(F417&lt;&gt;"已完成",I417&lt;&gt;"",TODAY()&gt;I417),"逾期","正常")</f>
        <v/>
      </c>
    </row>
    <row r="418">
      <c r="G418" s="2" t="n"/>
      <c r="H418" s="3" t="n"/>
      <c r="I418" s="3" t="n"/>
      <c r="L418">
        <f>IF(AND(F418&lt;&gt;"已完成",I418&lt;&gt;"",TODAY()&gt;I418),"逾期","正常")</f>
        <v/>
      </c>
    </row>
    <row r="419">
      <c r="G419" s="2" t="n"/>
      <c r="H419" s="3" t="n"/>
      <c r="I419" s="3" t="n"/>
      <c r="L419">
        <f>IF(AND(F419&lt;&gt;"已完成",I419&lt;&gt;"",TODAY()&gt;I419),"逾期","正常")</f>
        <v/>
      </c>
    </row>
    <row r="420">
      <c r="G420" s="2" t="n"/>
      <c r="H420" s="3" t="n"/>
      <c r="I420" s="3" t="n"/>
      <c r="L420">
        <f>IF(AND(F420&lt;&gt;"已完成",I420&lt;&gt;"",TODAY()&gt;I420),"逾期","正常")</f>
        <v/>
      </c>
    </row>
    <row r="421">
      <c r="G421" s="2" t="n"/>
      <c r="H421" s="3" t="n"/>
      <c r="I421" s="3" t="n"/>
      <c r="L421">
        <f>IF(AND(F421&lt;&gt;"已完成",I421&lt;&gt;"",TODAY()&gt;I421),"逾期","正常")</f>
        <v/>
      </c>
    </row>
    <row r="422">
      <c r="G422" s="2" t="n"/>
      <c r="H422" s="3" t="n"/>
      <c r="I422" s="3" t="n"/>
      <c r="L422">
        <f>IF(AND(F422&lt;&gt;"已完成",I422&lt;&gt;"",TODAY()&gt;I422),"逾期","正常")</f>
        <v/>
      </c>
    </row>
    <row r="423">
      <c r="G423" s="2" t="n"/>
      <c r="H423" s="3" t="n"/>
      <c r="I423" s="3" t="n"/>
      <c r="L423">
        <f>IF(AND(F423&lt;&gt;"已完成",I423&lt;&gt;"",TODAY()&gt;I423),"逾期","正常")</f>
        <v/>
      </c>
    </row>
    <row r="424">
      <c r="G424" s="2" t="n"/>
      <c r="H424" s="3" t="n"/>
      <c r="I424" s="3" t="n"/>
      <c r="L424">
        <f>IF(AND(F424&lt;&gt;"已完成",I424&lt;&gt;"",TODAY()&gt;I424),"逾期","正常")</f>
        <v/>
      </c>
    </row>
    <row r="425">
      <c r="G425" s="2" t="n"/>
      <c r="H425" s="3" t="n"/>
      <c r="I425" s="3" t="n"/>
      <c r="L425">
        <f>IF(AND(F425&lt;&gt;"已完成",I425&lt;&gt;"",TODAY()&gt;I425),"逾期","正常")</f>
        <v/>
      </c>
    </row>
    <row r="426">
      <c r="G426" s="2" t="n"/>
      <c r="H426" s="3" t="n"/>
      <c r="I426" s="3" t="n"/>
      <c r="L426">
        <f>IF(AND(F426&lt;&gt;"已完成",I426&lt;&gt;"",TODAY()&gt;I426),"逾期","正常")</f>
        <v/>
      </c>
    </row>
    <row r="427">
      <c r="G427" s="2" t="n"/>
      <c r="H427" s="3" t="n"/>
      <c r="I427" s="3" t="n"/>
      <c r="L427">
        <f>IF(AND(F427&lt;&gt;"已完成",I427&lt;&gt;"",TODAY()&gt;I427),"逾期","正常")</f>
        <v/>
      </c>
    </row>
    <row r="428">
      <c r="G428" s="2" t="n"/>
      <c r="H428" s="3" t="n"/>
      <c r="I428" s="3" t="n"/>
      <c r="L428">
        <f>IF(AND(F428&lt;&gt;"已完成",I428&lt;&gt;"",TODAY()&gt;I428),"逾期","正常")</f>
        <v/>
      </c>
    </row>
    <row r="429">
      <c r="G429" s="2" t="n"/>
      <c r="H429" s="3" t="n"/>
      <c r="I429" s="3" t="n"/>
      <c r="L429">
        <f>IF(AND(F429&lt;&gt;"已完成",I429&lt;&gt;"",TODAY()&gt;I429),"逾期","正常")</f>
        <v/>
      </c>
    </row>
    <row r="430">
      <c r="G430" s="2" t="n"/>
      <c r="H430" s="3" t="n"/>
      <c r="I430" s="3" t="n"/>
      <c r="L430">
        <f>IF(AND(F430&lt;&gt;"已完成",I430&lt;&gt;"",TODAY()&gt;I430),"逾期","正常")</f>
        <v/>
      </c>
    </row>
    <row r="431">
      <c r="G431" s="2" t="n"/>
      <c r="H431" s="3" t="n"/>
      <c r="I431" s="3" t="n"/>
      <c r="L431">
        <f>IF(AND(F431&lt;&gt;"已完成",I431&lt;&gt;"",TODAY()&gt;I431),"逾期","正常")</f>
        <v/>
      </c>
    </row>
    <row r="432">
      <c r="G432" s="2" t="n"/>
      <c r="H432" s="3" t="n"/>
      <c r="I432" s="3" t="n"/>
      <c r="L432">
        <f>IF(AND(F432&lt;&gt;"已完成",I432&lt;&gt;"",TODAY()&gt;I432),"逾期","正常")</f>
        <v/>
      </c>
    </row>
    <row r="433">
      <c r="G433" s="2" t="n"/>
      <c r="H433" s="3" t="n"/>
      <c r="I433" s="3" t="n"/>
      <c r="L433">
        <f>IF(AND(F433&lt;&gt;"已完成",I433&lt;&gt;"",TODAY()&gt;I433),"逾期","正常")</f>
        <v/>
      </c>
    </row>
    <row r="434">
      <c r="G434" s="2" t="n"/>
      <c r="H434" s="3" t="n"/>
      <c r="I434" s="3" t="n"/>
      <c r="L434">
        <f>IF(AND(F434&lt;&gt;"已完成",I434&lt;&gt;"",TODAY()&gt;I434),"逾期","正常")</f>
        <v/>
      </c>
    </row>
    <row r="435">
      <c r="G435" s="2" t="n"/>
      <c r="H435" s="3" t="n"/>
      <c r="I435" s="3" t="n"/>
      <c r="L435">
        <f>IF(AND(F435&lt;&gt;"已完成",I435&lt;&gt;"",TODAY()&gt;I435),"逾期","正常")</f>
        <v/>
      </c>
    </row>
    <row r="436">
      <c r="G436" s="2" t="n"/>
      <c r="H436" s="3" t="n"/>
      <c r="I436" s="3" t="n"/>
      <c r="L436">
        <f>IF(AND(F436&lt;&gt;"已完成",I436&lt;&gt;"",TODAY()&gt;I436),"逾期","正常")</f>
        <v/>
      </c>
    </row>
    <row r="437">
      <c r="G437" s="2" t="n"/>
      <c r="H437" s="3" t="n"/>
      <c r="I437" s="3" t="n"/>
      <c r="L437">
        <f>IF(AND(F437&lt;&gt;"已完成",I437&lt;&gt;"",TODAY()&gt;I437),"逾期","正常")</f>
        <v/>
      </c>
    </row>
    <row r="438">
      <c r="G438" s="2" t="n"/>
      <c r="H438" s="3" t="n"/>
      <c r="I438" s="3" t="n"/>
      <c r="L438">
        <f>IF(AND(F438&lt;&gt;"已完成",I438&lt;&gt;"",TODAY()&gt;I438),"逾期","正常")</f>
        <v/>
      </c>
    </row>
    <row r="439">
      <c r="G439" s="2" t="n"/>
      <c r="H439" s="3" t="n"/>
      <c r="I439" s="3" t="n"/>
      <c r="L439">
        <f>IF(AND(F439&lt;&gt;"已完成",I439&lt;&gt;"",TODAY()&gt;I439),"逾期","正常")</f>
        <v/>
      </c>
    </row>
    <row r="440">
      <c r="G440" s="2" t="n"/>
      <c r="H440" s="3" t="n"/>
      <c r="I440" s="3" t="n"/>
      <c r="L440">
        <f>IF(AND(F440&lt;&gt;"已完成",I440&lt;&gt;"",TODAY()&gt;I440),"逾期","正常")</f>
        <v/>
      </c>
    </row>
    <row r="441">
      <c r="G441" s="2" t="n"/>
      <c r="H441" s="3" t="n"/>
      <c r="I441" s="3" t="n"/>
      <c r="L441">
        <f>IF(AND(F441&lt;&gt;"已完成",I441&lt;&gt;"",TODAY()&gt;I441),"逾期","正常")</f>
        <v/>
      </c>
    </row>
    <row r="442">
      <c r="G442" s="2" t="n"/>
      <c r="H442" s="3" t="n"/>
      <c r="I442" s="3" t="n"/>
      <c r="L442">
        <f>IF(AND(F442&lt;&gt;"已完成",I442&lt;&gt;"",TODAY()&gt;I442),"逾期","正常")</f>
        <v/>
      </c>
    </row>
    <row r="443">
      <c r="G443" s="2" t="n"/>
      <c r="H443" s="3" t="n"/>
      <c r="I443" s="3" t="n"/>
      <c r="L443">
        <f>IF(AND(F443&lt;&gt;"已完成",I443&lt;&gt;"",TODAY()&gt;I443),"逾期","正常")</f>
        <v/>
      </c>
    </row>
    <row r="444">
      <c r="G444" s="2" t="n"/>
      <c r="H444" s="3" t="n"/>
      <c r="I444" s="3" t="n"/>
      <c r="L444">
        <f>IF(AND(F444&lt;&gt;"已完成",I444&lt;&gt;"",TODAY()&gt;I444),"逾期","正常")</f>
        <v/>
      </c>
    </row>
    <row r="445">
      <c r="G445" s="2" t="n"/>
      <c r="H445" s="3" t="n"/>
      <c r="I445" s="3" t="n"/>
      <c r="L445">
        <f>IF(AND(F445&lt;&gt;"已完成",I445&lt;&gt;"",TODAY()&gt;I445),"逾期","正常")</f>
        <v/>
      </c>
    </row>
    <row r="446">
      <c r="G446" s="2" t="n"/>
      <c r="H446" s="3" t="n"/>
      <c r="I446" s="3" t="n"/>
      <c r="L446">
        <f>IF(AND(F446&lt;&gt;"已完成",I446&lt;&gt;"",TODAY()&gt;I446),"逾期","正常")</f>
        <v/>
      </c>
    </row>
    <row r="447">
      <c r="G447" s="2" t="n"/>
      <c r="H447" s="3" t="n"/>
      <c r="I447" s="3" t="n"/>
      <c r="L447">
        <f>IF(AND(F447&lt;&gt;"已完成",I447&lt;&gt;"",TODAY()&gt;I447),"逾期","正常")</f>
        <v/>
      </c>
    </row>
    <row r="448">
      <c r="G448" s="2" t="n"/>
      <c r="H448" s="3" t="n"/>
      <c r="I448" s="3" t="n"/>
      <c r="L448">
        <f>IF(AND(F448&lt;&gt;"已完成",I448&lt;&gt;"",TODAY()&gt;I448),"逾期","正常")</f>
        <v/>
      </c>
    </row>
    <row r="449">
      <c r="G449" s="2" t="n"/>
      <c r="H449" s="3" t="n"/>
      <c r="I449" s="3" t="n"/>
      <c r="L449">
        <f>IF(AND(F449&lt;&gt;"已完成",I449&lt;&gt;"",TODAY()&gt;I449),"逾期","正常")</f>
        <v/>
      </c>
    </row>
    <row r="450">
      <c r="G450" s="2" t="n"/>
      <c r="H450" s="3" t="n"/>
      <c r="I450" s="3" t="n"/>
      <c r="L450">
        <f>IF(AND(F450&lt;&gt;"已完成",I450&lt;&gt;"",TODAY()&gt;I450),"逾期","正常")</f>
        <v/>
      </c>
    </row>
    <row r="451">
      <c r="G451" s="2" t="n"/>
      <c r="H451" s="3" t="n"/>
      <c r="I451" s="3" t="n"/>
      <c r="L451">
        <f>IF(AND(F451&lt;&gt;"已完成",I451&lt;&gt;"",TODAY()&gt;I451),"逾期","正常")</f>
        <v/>
      </c>
    </row>
    <row r="452">
      <c r="G452" s="2" t="n"/>
      <c r="H452" s="3" t="n"/>
      <c r="I452" s="3" t="n"/>
      <c r="L452">
        <f>IF(AND(F452&lt;&gt;"已完成",I452&lt;&gt;"",TODAY()&gt;I452),"逾期","正常")</f>
        <v/>
      </c>
    </row>
    <row r="453">
      <c r="G453" s="2" t="n"/>
      <c r="H453" s="3" t="n"/>
      <c r="I453" s="3" t="n"/>
      <c r="L453">
        <f>IF(AND(F453&lt;&gt;"已完成",I453&lt;&gt;"",TODAY()&gt;I453),"逾期","正常")</f>
        <v/>
      </c>
    </row>
    <row r="454">
      <c r="G454" s="2" t="n"/>
      <c r="H454" s="3" t="n"/>
      <c r="I454" s="3" t="n"/>
      <c r="L454">
        <f>IF(AND(F454&lt;&gt;"已完成",I454&lt;&gt;"",TODAY()&gt;I454),"逾期","正常")</f>
        <v/>
      </c>
    </row>
    <row r="455">
      <c r="G455" s="2" t="n"/>
      <c r="H455" s="3" t="n"/>
      <c r="I455" s="3" t="n"/>
      <c r="L455">
        <f>IF(AND(F455&lt;&gt;"已完成",I455&lt;&gt;"",TODAY()&gt;I455),"逾期","正常")</f>
        <v/>
      </c>
    </row>
    <row r="456">
      <c r="G456" s="2" t="n"/>
      <c r="H456" s="3" t="n"/>
      <c r="I456" s="3" t="n"/>
      <c r="L456">
        <f>IF(AND(F456&lt;&gt;"已完成",I456&lt;&gt;"",TODAY()&gt;I456),"逾期","正常")</f>
        <v/>
      </c>
    </row>
    <row r="457">
      <c r="G457" s="2" t="n"/>
      <c r="H457" s="3" t="n"/>
      <c r="I457" s="3" t="n"/>
      <c r="L457">
        <f>IF(AND(F457&lt;&gt;"已完成",I457&lt;&gt;"",TODAY()&gt;I457),"逾期","正常")</f>
        <v/>
      </c>
    </row>
    <row r="458">
      <c r="G458" s="2" t="n"/>
      <c r="H458" s="3" t="n"/>
      <c r="I458" s="3" t="n"/>
      <c r="L458">
        <f>IF(AND(F458&lt;&gt;"已完成",I458&lt;&gt;"",TODAY()&gt;I458),"逾期","正常")</f>
        <v/>
      </c>
    </row>
    <row r="459">
      <c r="G459" s="2" t="n"/>
      <c r="H459" s="3" t="n"/>
      <c r="I459" s="3" t="n"/>
      <c r="L459">
        <f>IF(AND(F459&lt;&gt;"已完成",I459&lt;&gt;"",TODAY()&gt;I459),"逾期","正常")</f>
        <v/>
      </c>
    </row>
    <row r="460">
      <c r="G460" s="2" t="n"/>
      <c r="H460" s="3" t="n"/>
      <c r="I460" s="3" t="n"/>
      <c r="L460">
        <f>IF(AND(F460&lt;&gt;"已完成",I460&lt;&gt;"",TODAY()&gt;I460),"逾期","正常")</f>
        <v/>
      </c>
    </row>
    <row r="461">
      <c r="G461" s="2" t="n"/>
      <c r="H461" s="3" t="n"/>
      <c r="I461" s="3" t="n"/>
      <c r="L461">
        <f>IF(AND(F461&lt;&gt;"已完成",I461&lt;&gt;"",TODAY()&gt;I461),"逾期","正常")</f>
        <v/>
      </c>
    </row>
    <row r="462">
      <c r="G462" s="2" t="n"/>
      <c r="H462" s="3" t="n"/>
      <c r="I462" s="3" t="n"/>
      <c r="L462">
        <f>IF(AND(F462&lt;&gt;"已完成",I462&lt;&gt;"",TODAY()&gt;I462),"逾期","正常")</f>
        <v/>
      </c>
    </row>
    <row r="463">
      <c r="G463" s="2" t="n"/>
      <c r="H463" s="3" t="n"/>
      <c r="I463" s="3" t="n"/>
      <c r="L463">
        <f>IF(AND(F463&lt;&gt;"已完成",I463&lt;&gt;"",TODAY()&gt;I463),"逾期","正常")</f>
        <v/>
      </c>
    </row>
    <row r="464">
      <c r="G464" s="2" t="n"/>
      <c r="H464" s="3" t="n"/>
      <c r="I464" s="3" t="n"/>
      <c r="L464">
        <f>IF(AND(F464&lt;&gt;"已完成",I464&lt;&gt;"",TODAY()&gt;I464),"逾期","正常")</f>
        <v/>
      </c>
    </row>
    <row r="465">
      <c r="G465" s="2" t="n"/>
      <c r="H465" s="3" t="n"/>
      <c r="I465" s="3" t="n"/>
      <c r="L465">
        <f>IF(AND(F465&lt;&gt;"已完成",I465&lt;&gt;"",TODAY()&gt;I465),"逾期","正常")</f>
        <v/>
      </c>
    </row>
    <row r="466">
      <c r="G466" s="2" t="n"/>
      <c r="H466" s="3" t="n"/>
      <c r="I466" s="3" t="n"/>
      <c r="L466">
        <f>IF(AND(F466&lt;&gt;"已完成",I466&lt;&gt;"",TODAY()&gt;I466),"逾期","正常")</f>
        <v/>
      </c>
    </row>
    <row r="467">
      <c r="G467" s="2" t="n"/>
      <c r="H467" s="3" t="n"/>
      <c r="I467" s="3" t="n"/>
      <c r="L467">
        <f>IF(AND(F467&lt;&gt;"已完成",I467&lt;&gt;"",TODAY()&gt;I467),"逾期","正常")</f>
        <v/>
      </c>
    </row>
    <row r="468">
      <c r="G468" s="2" t="n"/>
      <c r="H468" s="3" t="n"/>
      <c r="I468" s="3" t="n"/>
      <c r="L468">
        <f>IF(AND(F468&lt;&gt;"已完成",I468&lt;&gt;"",TODAY()&gt;I468),"逾期","正常")</f>
        <v/>
      </c>
    </row>
    <row r="469">
      <c r="G469" s="2" t="n"/>
      <c r="H469" s="3" t="n"/>
      <c r="I469" s="3" t="n"/>
      <c r="L469">
        <f>IF(AND(F469&lt;&gt;"已完成",I469&lt;&gt;"",TODAY()&gt;I469),"逾期","正常")</f>
        <v/>
      </c>
    </row>
    <row r="470">
      <c r="G470" s="2" t="n"/>
      <c r="H470" s="3" t="n"/>
      <c r="I470" s="3" t="n"/>
      <c r="L470">
        <f>IF(AND(F470&lt;&gt;"已完成",I470&lt;&gt;"",TODAY()&gt;I470),"逾期","正常")</f>
        <v/>
      </c>
    </row>
    <row r="471">
      <c r="G471" s="2" t="n"/>
      <c r="H471" s="3" t="n"/>
      <c r="I471" s="3" t="n"/>
      <c r="L471">
        <f>IF(AND(F471&lt;&gt;"已完成",I471&lt;&gt;"",TODAY()&gt;I471),"逾期","正常")</f>
        <v/>
      </c>
    </row>
    <row r="472">
      <c r="G472" s="2" t="n"/>
      <c r="H472" s="3" t="n"/>
      <c r="I472" s="3" t="n"/>
      <c r="L472">
        <f>IF(AND(F472&lt;&gt;"已完成",I472&lt;&gt;"",TODAY()&gt;I472),"逾期","正常")</f>
        <v/>
      </c>
    </row>
    <row r="473">
      <c r="G473" s="2" t="n"/>
      <c r="H473" s="3" t="n"/>
      <c r="I473" s="3" t="n"/>
      <c r="L473">
        <f>IF(AND(F473&lt;&gt;"已完成",I473&lt;&gt;"",TODAY()&gt;I473),"逾期","正常")</f>
        <v/>
      </c>
    </row>
    <row r="474">
      <c r="G474" s="2" t="n"/>
      <c r="H474" s="3" t="n"/>
      <c r="I474" s="3" t="n"/>
      <c r="L474">
        <f>IF(AND(F474&lt;&gt;"已完成",I474&lt;&gt;"",TODAY()&gt;I474),"逾期","正常")</f>
        <v/>
      </c>
    </row>
    <row r="475">
      <c r="G475" s="2" t="n"/>
      <c r="H475" s="3" t="n"/>
      <c r="I475" s="3" t="n"/>
      <c r="L475">
        <f>IF(AND(F475&lt;&gt;"已完成",I475&lt;&gt;"",TODAY()&gt;I475),"逾期","正常")</f>
        <v/>
      </c>
    </row>
    <row r="476">
      <c r="G476" s="2" t="n"/>
      <c r="H476" s="3" t="n"/>
      <c r="I476" s="3" t="n"/>
      <c r="L476">
        <f>IF(AND(F476&lt;&gt;"已完成",I476&lt;&gt;"",TODAY()&gt;I476),"逾期","正常")</f>
        <v/>
      </c>
    </row>
    <row r="477">
      <c r="G477" s="2" t="n"/>
      <c r="H477" s="3" t="n"/>
      <c r="I477" s="3" t="n"/>
      <c r="L477">
        <f>IF(AND(F477&lt;&gt;"已完成",I477&lt;&gt;"",TODAY()&gt;I477),"逾期","正常")</f>
        <v/>
      </c>
    </row>
    <row r="478">
      <c r="G478" s="2" t="n"/>
      <c r="H478" s="3" t="n"/>
      <c r="I478" s="3" t="n"/>
      <c r="L478">
        <f>IF(AND(F478&lt;&gt;"已完成",I478&lt;&gt;"",TODAY()&gt;I478),"逾期","正常")</f>
        <v/>
      </c>
    </row>
    <row r="479">
      <c r="G479" s="2" t="n"/>
      <c r="H479" s="3" t="n"/>
      <c r="I479" s="3" t="n"/>
      <c r="L479">
        <f>IF(AND(F479&lt;&gt;"已完成",I479&lt;&gt;"",TODAY()&gt;I479),"逾期","正常")</f>
        <v/>
      </c>
    </row>
    <row r="480">
      <c r="G480" s="2" t="n"/>
      <c r="H480" s="3" t="n"/>
      <c r="I480" s="3" t="n"/>
      <c r="L480">
        <f>IF(AND(F480&lt;&gt;"已完成",I480&lt;&gt;"",TODAY()&gt;I480),"逾期","正常")</f>
        <v/>
      </c>
    </row>
    <row r="481">
      <c r="G481" s="2" t="n"/>
      <c r="H481" s="3" t="n"/>
      <c r="I481" s="3" t="n"/>
      <c r="L481">
        <f>IF(AND(F481&lt;&gt;"已完成",I481&lt;&gt;"",TODAY()&gt;I481),"逾期","正常")</f>
        <v/>
      </c>
    </row>
    <row r="482">
      <c r="G482" s="2" t="n"/>
      <c r="H482" s="3" t="n"/>
      <c r="I482" s="3" t="n"/>
      <c r="L482">
        <f>IF(AND(F482&lt;&gt;"已完成",I482&lt;&gt;"",TODAY()&gt;I482),"逾期","正常")</f>
        <v/>
      </c>
    </row>
    <row r="483">
      <c r="G483" s="2" t="n"/>
      <c r="H483" s="3" t="n"/>
      <c r="I483" s="3" t="n"/>
      <c r="L483">
        <f>IF(AND(F483&lt;&gt;"已完成",I483&lt;&gt;"",TODAY()&gt;I483),"逾期","正常")</f>
        <v/>
      </c>
    </row>
    <row r="484">
      <c r="G484" s="2" t="n"/>
      <c r="H484" s="3" t="n"/>
      <c r="I484" s="3" t="n"/>
      <c r="L484">
        <f>IF(AND(F484&lt;&gt;"已完成",I484&lt;&gt;"",TODAY()&gt;I484),"逾期","正常")</f>
        <v/>
      </c>
    </row>
    <row r="485">
      <c r="G485" s="2" t="n"/>
      <c r="H485" s="3" t="n"/>
      <c r="I485" s="3" t="n"/>
      <c r="L485">
        <f>IF(AND(F485&lt;&gt;"已完成",I485&lt;&gt;"",TODAY()&gt;I485),"逾期","正常")</f>
        <v/>
      </c>
    </row>
    <row r="486">
      <c r="G486" s="2" t="n"/>
      <c r="H486" s="3" t="n"/>
      <c r="I486" s="3" t="n"/>
      <c r="L486">
        <f>IF(AND(F486&lt;&gt;"已完成",I486&lt;&gt;"",TODAY()&gt;I486),"逾期","正常")</f>
        <v/>
      </c>
    </row>
    <row r="487">
      <c r="G487" s="2" t="n"/>
      <c r="H487" s="3" t="n"/>
      <c r="I487" s="3" t="n"/>
      <c r="L487">
        <f>IF(AND(F487&lt;&gt;"已完成",I487&lt;&gt;"",TODAY()&gt;I487),"逾期","正常")</f>
        <v/>
      </c>
    </row>
    <row r="488">
      <c r="G488" s="2" t="n"/>
      <c r="H488" s="3" t="n"/>
      <c r="I488" s="3" t="n"/>
      <c r="L488">
        <f>IF(AND(F488&lt;&gt;"已完成",I488&lt;&gt;"",TODAY()&gt;I488),"逾期","正常")</f>
        <v/>
      </c>
    </row>
    <row r="489">
      <c r="G489" s="2" t="n"/>
      <c r="H489" s="3" t="n"/>
      <c r="I489" s="3" t="n"/>
      <c r="L489">
        <f>IF(AND(F489&lt;&gt;"已完成",I489&lt;&gt;"",TODAY()&gt;I489),"逾期","正常")</f>
        <v/>
      </c>
    </row>
    <row r="490">
      <c r="G490" s="2" t="n"/>
      <c r="H490" s="3" t="n"/>
      <c r="I490" s="3" t="n"/>
      <c r="L490">
        <f>IF(AND(F490&lt;&gt;"已完成",I490&lt;&gt;"",TODAY()&gt;I490),"逾期","正常")</f>
        <v/>
      </c>
    </row>
    <row r="491">
      <c r="G491" s="2" t="n"/>
      <c r="H491" s="3" t="n"/>
      <c r="I491" s="3" t="n"/>
      <c r="L491">
        <f>IF(AND(F491&lt;&gt;"已完成",I491&lt;&gt;"",TODAY()&gt;I491),"逾期","正常")</f>
        <v/>
      </c>
    </row>
    <row r="492">
      <c r="G492" s="2" t="n"/>
      <c r="H492" s="3" t="n"/>
      <c r="I492" s="3" t="n"/>
      <c r="L492">
        <f>IF(AND(F492&lt;&gt;"已完成",I492&lt;&gt;"",TODAY()&gt;I492),"逾期","正常")</f>
        <v/>
      </c>
    </row>
    <row r="493">
      <c r="G493" s="2" t="n"/>
      <c r="H493" s="3" t="n"/>
      <c r="I493" s="3" t="n"/>
      <c r="L493">
        <f>IF(AND(F493&lt;&gt;"已完成",I493&lt;&gt;"",TODAY()&gt;I493),"逾期","正常")</f>
        <v/>
      </c>
    </row>
    <row r="494">
      <c r="G494" s="2" t="n"/>
      <c r="H494" s="3" t="n"/>
      <c r="I494" s="3" t="n"/>
      <c r="L494">
        <f>IF(AND(F494&lt;&gt;"已完成",I494&lt;&gt;"",TODAY()&gt;I494),"逾期","正常")</f>
        <v/>
      </c>
    </row>
    <row r="495">
      <c r="G495" s="2" t="n"/>
      <c r="H495" s="3" t="n"/>
      <c r="I495" s="3" t="n"/>
      <c r="L495">
        <f>IF(AND(F495&lt;&gt;"已完成",I495&lt;&gt;"",TODAY()&gt;I495),"逾期","正常")</f>
        <v/>
      </c>
    </row>
    <row r="496">
      <c r="G496" s="2" t="n"/>
      <c r="H496" s="3" t="n"/>
      <c r="I496" s="3" t="n"/>
      <c r="L496">
        <f>IF(AND(F496&lt;&gt;"已完成",I496&lt;&gt;"",TODAY()&gt;I496),"逾期","正常")</f>
        <v/>
      </c>
    </row>
    <row r="497">
      <c r="G497" s="2" t="n"/>
      <c r="H497" s="3" t="n"/>
      <c r="I497" s="3" t="n"/>
      <c r="L497">
        <f>IF(AND(F497&lt;&gt;"已完成",I497&lt;&gt;"",TODAY()&gt;I497),"逾期","正常")</f>
        <v/>
      </c>
    </row>
    <row r="498">
      <c r="G498" s="2" t="n"/>
      <c r="H498" s="3" t="n"/>
      <c r="I498" s="3" t="n"/>
      <c r="L498">
        <f>IF(AND(F498&lt;&gt;"已完成",I498&lt;&gt;"",TODAY()&gt;I498),"逾期","正常")</f>
        <v/>
      </c>
    </row>
    <row r="499">
      <c r="G499" s="2" t="n"/>
      <c r="H499" s="3" t="n"/>
      <c r="I499" s="3" t="n"/>
      <c r="L499">
        <f>IF(AND(F499&lt;&gt;"已完成",I499&lt;&gt;"",TODAY()&gt;I499),"逾期","正常")</f>
        <v/>
      </c>
    </row>
    <row r="500">
      <c r="G500" s="2" t="n"/>
      <c r="H500" s="3" t="n"/>
      <c r="I500" s="3" t="n"/>
      <c r="L500">
        <f>IF(AND(F500&lt;&gt;"已完成",I500&lt;&gt;"",TODAY()&gt;I500),"逾期","正常")</f>
        <v/>
      </c>
    </row>
    <row r="501">
      <c r="G501" s="2" t="n"/>
      <c r="H501" s="3" t="n"/>
      <c r="I501" s="3" t="n"/>
      <c r="L501">
        <f>IF(AND(F501&lt;&gt;"已完成",I501&lt;&gt;"",TODAY()&gt;I501),"逾期","正常")</f>
        <v/>
      </c>
    </row>
  </sheetData>
  <conditionalFormatting sqref="A2:M501">
    <cfRule type="expression" priority="1" dxfId="0">
      <formula>$L2="逾期"</formula>
    </cfRule>
  </conditionalFormatting>
  <conditionalFormatting sqref="F2:F501">
    <cfRule type="expression" priority="2" dxfId="1">
      <formula>$F2="已完成"</formula>
    </cfRule>
    <cfRule type="expression" priority="3" dxfId="2">
      <formula>$F2="进行中"</formula>
    </cfRule>
  </conditionalFormatting>
  <conditionalFormatting sqref="G2:G501">
    <cfRule type="dataBar" priority="4">
      <dataBar showValue="1">
        <cfvo type="num" val="0"/>
        <cfvo type="num" val="100"/>
        <color rgb="00638EC6"/>
      </dataBar>
    </cfRule>
  </conditionalFormatting>
  <dataValidations count="3">
    <dataValidation sqref="B2:B501" showDropDown="0" showInputMessage="0" showErrorMessage="0" allowBlank="1" type="list">
      <formula1>"会务接待,车辆管理,后勤管理,物资采购,行政办公,人力资源,其他"</formula1>
    </dataValidation>
    <dataValidation sqref="F2:F501" showDropDown="0" showInputMessage="0" showErrorMessage="0" allowBlank="1" type="list">
      <formula1>"未开始,进行中,已完成,已暂停,已逾期"</formula1>
    </dataValidation>
    <dataValidation sqref="J2:J501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行政部驾驶舱 · 仪表盘</t>
        </is>
      </c>
    </row>
    <row r="3">
      <c r="A3" s="5" t="inlineStr">
        <is>
          <t>总任务数</t>
        </is>
      </c>
      <c r="B3" s="6">
        <f>COUNTA(任务总表!A2:A501)</f>
        <v/>
      </c>
      <c r="D3" t="inlineStr">
        <is>
          <t>状态</t>
        </is>
      </c>
      <c r="E3" t="inlineStr">
        <is>
          <t>数量</t>
        </is>
      </c>
      <c r="G3" t="inlineStr">
        <is>
          <t>大类</t>
        </is>
      </c>
      <c r="H3" t="inlineStr">
        <is>
          <t>数量</t>
        </is>
      </c>
    </row>
    <row r="4">
      <c r="A4" s="5" t="inlineStr">
        <is>
          <t>已完成</t>
        </is>
      </c>
      <c r="B4" s="6">
        <f>COUNTIF(任务总表!F2:F501,"已完成")</f>
        <v/>
      </c>
      <c r="D4" t="inlineStr">
        <is>
          <t>未开始</t>
        </is>
      </c>
      <c r="E4">
        <f>B7</f>
        <v/>
      </c>
      <c r="G4" t="inlineStr">
        <is>
          <t>会务接待</t>
        </is>
      </c>
      <c r="H4">
        <f>COUNTIF(任务总表!B2:B501,G4)</f>
        <v/>
      </c>
    </row>
    <row r="5">
      <c r="A5" s="5" t="inlineStr">
        <is>
          <t>进行中</t>
        </is>
      </c>
      <c r="B5" s="6">
        <f>COUNTIF(任务总表!F2:F501,"进行中")</f>
        <v/>
      </c>
      <c r="D5" t="inlineStr">
        <is>
          <t>进行中</t>
        </is>
      </c>
      <c r="E5">
        <f>B5</f>
        <v/>
      </c>
      <c r="G5" t="inlineStr">
        <is>
          <t>车辆管理</t>
        </is>
      </c>
      <c r="H5">
        <f>COUNTIF(任务总表!B2:B501,G5)</f>
        <v/>
      </c>
    </row>
    <row r="6">
      <c r="A6" s="5" t="inlineStr">
        <is>
          <t>已暂停</t>
        </is>
      </c>
      <c r="B6" s="6">
        <f>COUNTIF(任务总表!F2:F501,"已暂停")</f>
        <v/>
      </c>
      <c r="D6" t="inlineStr">
        <is>
          <t>已完成</t>
        </is>
      </c>
      <c r="E6">
        <f>B4</f>
        <v/>
      </c>
      <c r="G6" t="inlineStr">
        <is>
          <t>后勤管理</t>
        </is>
      </c>
      <c r="H6">
        <f>COUNTIF(任务总表!B2:B501,G6)</f>
        <v/>
      </c>
    </row>
    <row r="7">
      <c r="A7" s="5" t="inlineStr">
        <is>
          <t>未开始</t>
        </is>
      </c>
      <c r="B7" s="6">
        <f>COUNTIF(任务总表!F2:F501,"未开始")</f>
        <v/>
      </c>
      <c r="D7" t="inlineStr">
        <is>
          <t>已暂停</t>
        </is>
      </c>
      <c r="E7">
        <f>B6</f>
        <v/>
      </c>
      <c r="G7" t="inlineStr">
        <is>
          <t>物资采购</t>
        </is>
      </c>
      <c r="H7">
        <f>COUNTIF(任务总表!B2:B501,G7)</f>
        <v/>
      </c>
    </row>
    <row r="8">
      <c r="A8" s="5" t="inlineStr">
        <is>
          <t>逾期</t>
        </is>
      </c>
      <c r="B8" s="6">
        <f>COUNTIF(任务总表!L2:L501,"逾期")</f>
        <v/>
      </c>
      <c r="D8" t="inlineStr">
        <is>
          <t>逾期</t>
        </is>
      </c>
      <c r="E8">
        <f>B8</f>
        <v/>
      </c>
      <c r="G8" t="inlineStr">
        <is>
          <t>行政办公</t>
        </is>
      </c>
      <c r="H8">
        <f>COUNTIF(任务总表!B2:B501,G8)</f>
        <v/>
      </c>
    </row>
    <row r="9">
      <c r="A9" s="5" t="inlineStr">
        <is>
          <t>完成率</t>
        </is>
      </c>
      <c r="B9" s="7">
        <f>IF(B3&gt;0,B4/B3,0)</f>
        <v/>
      </c>
      <c r="G9" t="inlineStr">
        <is>
          <t>人力资源</t>
        </is>
      </c>
      <c r="H9">
        <f>COUNTIF(任务总表!B2:B501,G9)</f>
        <v/>
      </c>
    </row>
    <row r="10">
      <c r="G10" t="inlineStr">
        <is>
          <t>其他</t>
        </is>
      </c>
      <c r="H10">
        <f>COUNTIF(任务总表!B2:B501,G10)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2026-08-15T08:26:28Z</dcterms:created>
  <dcterms:modified xmlns:dcterms="http://purl.org/dc/terms/" xmlns:xsi="http://www.w3.org/2001/XMLSchema-instance" xsi:type="dcterms:W3CDTF">2026-08-15T08:26:28Z</dcterms:modified>
</cp:coreProperties>
</file>